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mitre.sharepoint.com/sites/GrantsManagement/Shared Documents/General/v2.0 FIBF Artifacts (revisions)/"/>
    </mc:Choice>
  </mc:AlternateContent>
  <xr:revisionPtr revIDLastSave="0" documentId="8_{A7CDCE44-EC4A-4A33-9039-26C8D7637AB2}" xr6:coauthVersionLast="46" xr6:coauthVersionMax="46" xr10:uidLastSave="{00000000-0000-0000-0000-000000000000}"/>
  <bookViews>
    <workbookView xWindow="-108" yWindow="-108" windowWidth="23256" windowHeight="12576" xr2:uid="{00000000-000D-0000-FFFF-FFFF00000000}"/>
  </bookViews>
  <sheets>
    <sheet name="Cover" sheetId="5" r:id="rId1"/>
    <sheet name="Workbook Overview" sheetId="6" r:id="rId2"/>
    <sheet name="Capablity Guidelines" sheetId="8" r:id="rId3"/>
    <sheet name="Legend" sheetId="7" r:id="rId4"/>
    <sheet name="Business Capabilities" sheetId="2" r:id="rId5"/>
    <sheet name="Capability Totals" sheetId="3" r:id="rId6"/>
  </sheets>
  <externalReferences>
    <externalReference r:id="rId7"/>
  </externalReferences>
  <definedNames>
    <definedName name="_xlnm._FilterDatabase" localSheetId="4" hidden="1">'Business Capabilities'!$A$1:$G$751</definedName>
    <definedName name="Act_Names">[1]Lookups!$A$7:$B$21</definedName>
    <definedName name="Analysis">[1]!Analysis4[#Data]</definedName>
    <definedName name="Capabilities">#REF!</definedName>
    <definedName name="LookupByCapRef">#REF!</definedName>
    <definedName name="_xlnm.Print_Titles" localSheetId="4">'Business Capabilities'!$1:$1</definedName>
    <definedName name="_xlnm.Print_Titles" localSheetId="3">Legend!$1:$1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6" i="3" l="1"/>
  <c r="D11" i="3" l="1"/>
  <c r="E11" i="3"/>
  <c r="F11" i="3"/>
  <c r="D12" i="3"/>
  <c r="E12" i="3"/>
  <c r="F12" i="3"/>
  <c r="D13" i="3"/>
  <c r="E13" i="3"/>
  <c r="F13" i="3"/>
  <c r="D14" i="3"/>
  <c r="E14" i="3"/>
  <c r="F14" i="3"/>
  <c r="D15" i="3"/>
  <c r="E15" i="3"/>
  <c r="F15" i="3"/>
  <c r="D16" i="3"/>
  <c r="E16" i="3"/>
  <c r="F16" i="3"/>
  <c r="D17" i="3"/>
  <c r="E17" i="3"/>
  <c r="F17" i="3"/>
  <c r="D18" i="3"/>
  <c r="E18" i="3"/>
  <c r="F18" i="3"/>
  <c r="D5" i="3"/>
  <c r="E5" i="3"/>
  <c r="F5" i="3"/>
  <c r="E6" i="3"/>
  <c r="F6" i="3"/>
  <c r="D7" i="3"/>
  <c r="E7" i="3"/>
  <c r="F7" i="3"/>
  <c r="D8" i="3"/>
  <c r="E8" i="3"/>
  <c r="F8" i="3"/>
  <c r="D9" i="3"/>
  <c r="E9" i="3"/>
  <c r="F9" i="3"/>
  <c r="D10" i="3"/>
  <c r="E10" i="3"/>
  <c r="F10" i="3"/>
  <c r="F4" i="3"/>
  <c r="F3" i="3"/>
  <c r="E4" i="3"/>
  <c r="E3" i="3"/>
  <c r="D4" i="3"/>
  <c r="D3" i="3"/>
  <c r="G4" i="3" l="1"/>
  <c r="G13" i="3"/>
  <c r="G14" i="3" l="1"/>
  <c r="G9" i="3"/>
  <c r="G11" i="3"/>
  <c r="G7" i="3"/>
  <c r="G17" i="3"/>
  <c r="G12" i="3"/>
  <c r="G8" i="3"/>
  <c r="G18" i="3"/>
  <c r="E20" i="3"/>
  <c r="G5" i="3"/>
  <c r="G16" i="3"/>
  <c r="F20" i="3"/>
  <c r="G15" i="3"/>
  <c r="G10" i="3"/>
  <c r="G6" i="3"/>
  <c r="D20" i="3"/>
  <c r="G3" i="3"/>
  <c r="G20" i="3" l="1"/>
</calcChain>
</file>

<file path=xl/sharedStrings.xml><?xml version="1.0" encoding="utf-8"?>
<sst xmlns="http://schemas.openxmlformats.org/spreadsheetml/2006/main" count="4714" uniqueCount="1863">
  <si>
    <t>Grants Management 
Federal Integrated Business Framework 
Business Capabilities</t>
  </si>
  <si>
    <t xml:space="preserve">The worksheets in this workbook identify and provide background information for the Grants Management Business Capabilities.  
</t>
  </si>
  <si>
    <t>Tab</t>
  </si>
  <si>
    <t>Description</t>
  </si>
  <si>
    <t>Cover</t>
  </si>
  <si>
    <t>Workbook Overview</t>
  </si>
  <si>
    <t>Lists each workbook tab and provides an explanation of the tab's contents</t>
  </si>
  <si>
    <t>Legend</t>
  </si>
  <si>
    <t>Defines each field on the Business Capabilities tab</t>
  </si>
  <si>
    <t>Business Capabilities</t>
  </si>
  <si>
    <t>Identifies the Business Capabilities derived from Authoritative References and Other Sources</t>
  </si>
  <si>
    <t>Capability  Totals</t>
  </si>
  <si>
    <t>Provides counts of the Business Capabilities for each Service Activity</t>
  </si>
  <si>
    <t>Column</t>
  </si>
  <si>
    <t>Template Field</t>
  </si>
  <si>
    <t>Template Field Content</t>
  </si>
  <si>
    <t>A</t>
  </si>
  <si>
    <t>GRM Function ID and Name</t>
  </si>
  <si>
    <t xml:space="preserve">Provides unique identifier and name for service function. For example, GRM.010 Grant Program Administration, GRM.020 Grant Pre-Award Management, etc.
Service Function is a breakdown of an administrative or mission-support Service Area into categories of services provided to service consumers. </t>
  </si>
  <si>
    <t>B</t>
  </si>
  <si>
    <t>GRM Activity ID and Name</t>
  </si>
  <si>
    <t>Provides unique identifier used to represent the Service Activity and Name. For example, GRM.010.010 Grant Program Set-up and Maintenance, GRM.010.020 Grant Program Funding Opportunity, etc.
Service Activities are processes within a Service Function, that provide identifiable outputs/outcomes to service consumers.</t>
  </si>
  <si>
    <t>C</t>
  </si>
  <si>
    <t>Capability ID</t>
  </si>
  <si>
    <r>
      <t>Provides the Identifier for the capability. The identifier components are  &lt;service area&gt;.&lt;service function number&gt;.&lt;service activity number&gt;.&lt;sequential number, including process group and unique number&gt; . 
For example, a capability mapped to the Service Activity "Grant Application Review and Selection, and numbered GRM.020.020.011, has the following elements:
• “GRM” is the service area
• “.020” is the service function number 
• “.020” is the service activity number 
• Second digit of “.0</t>
    </r>
    <r>
      <rPr>
        <b/>
        <u/>
        <sz val="11"/>
        <color theme="1"/>
        <rFont val="Calibri"/>
        <family val="2"/>
        <scheme val="minor"/>
      </rPr>
      <t>1</t>
    </r>
    <r>
      <rPr>
        <sz val="11"/>
        <color theme="1"/>
        <rFont val="Calibri"/>
        <family val="2"/>
        <scheme val="minor"/>
      </rPr>
      <t>1” is the unique process group within the service activity (group of inputs, processes, and outputs) and is numbered by multiples of 10, e.g., 01x, 02x, 03x, . . . 09x, 10x, 11x, etc.
• Third digit of “.01</t>
    </r>
    <r>
      <rPr>
        <b/>
        <u/>
        <sz val="11"/>
        <color theme="1"/>
        <rFont val="Calibri"/>
        <family val="2"/>
        <scheme val="minor"/>
      </rPr>
      <t>1</t>
    </r>
    <r>
      <rPr>
        <sz val="11"/>
        <color theme="1"/>
        <rFont val="Calibri"/>
        <family val="2"/>
        <scheme val="minor"/>
      </rPr>
      <t>” is the unique number of the capability within the process group
If there are more than 9 capabilities associated with a process group (e.g., when there are large numbers of inputs or outputs), continue numbering with the next sequential number, e.g., "028, 029, 030, 031, 032" then start the next process group with the next multiple of 10 in the sequence, e.g., "040."</t>
    </r>
  </si>
  <si>
    <t>D</t>
  </si>
  <si>
    <t>(I)input
(P)process
(O)output</t>
  </si>
  <si>
    <t xml:space="preserve">Classifies the capability as a unique:
Input (I) - Information that is captured and used by the process
Process (P) - Task to be performed and results recorded/documented
Output (O) - Information that is provided as a result of task performance
Examples for the inputs, processes, and outputs are sometimes included parenthetically in the capability statement.  </t>
  </si>
  <si>
    <t>E</t>
  </si>
  <si>
    <t>Business Capability Statement</t>
  </si>
  <si>
    <t>Contains the capability statements and the applicable short Authoritative Reference name, e.g., "Uniform Guidance." The statements contain the phrases “consistent with” and “as specified by” to describe the association with the authoritative source.
The capability statements are derived from Authoritative References and Other Sources and comprise:
• Data required by Federal statutes, standards, or guidance to accomplish grants management processes;
• Unique processes performed by the Federal Government throughout the grants management lifecycle;
• Data required to be exchanged between Federal agencies or reported from agency systems as Federal statutes, standards, or guidance require.</t>
  </si>
  <si>
    <t>F</t>
  </si>
  <si>
    <t>Authoritative Reference</t>
  </si>
  <si>
    <t>Provides the current Federal regulatory authoritative source(s) that contains business process and data requirements</t>
  </si>
  <si>
    <t>G</t>
  </si>
  <si>
    <t xml:space="preserve">Other Sources </t>
  </si>
  <si>
    <t>Provides non-current/non-authoritative references to other Federal documents or materials that contain guidance on business processes and data</t>
  </si>
  <si>
    <t>Other Sources</t>
  </si>
  <si>
    <t>GRM.010 Grant Program Administration</t>
  </si>
  <si>
    <t>GRM.010.010 Grant Program Set-up and Maintenance</t>
  </si>
  <si>
    <t>GRM.010.010.011</t>
  </si>
  <si>
    <t>I</t>
  </si>
  <si>
    <t>Capture Federal authorizing legislation for grant program consistent with PL 95-224</t>
  </si>
  <si>
    <t>Public Law 95-224 Federal Grant and Cooperative Agreement Act</t>
  </si>
  <si>
    <t>GRM.010.010.012</t>
  </si>
  <si>
    <t>P</t>
  </si>
  <si>
    <t>Identify and document special program requirements (e.g., oversight reporting), if any, from the Federal authorizing legislation consistent with Uniform Guidance</t>
  </si>
  <si>
    <t>GRM.010.010.013</t>
  </si>
  <si>
    <t>Provide special program requirements (e.g., oversight reporting), if any, from the Federal authorizing legislation consistent with Uniform Guidance</t>
  </si>
  <si>
    <t>GRM.010.010.031</t>
  </si>
  <si>
    <t>2 CFR 200.201</t>
  </si>
  <si>
    <t>JFMIP Grant Financial System Requirements, 2000, Grants Overview Process</t>
  </si>
  <si>
    <t>GRM.010.010.032</t>
  </si>
  <si>
    <t>GRM.010.010.041</t>
  </si>
  <si>
    <t>2 CFR 200.1; 2 CFR 200.203</t>
  </si>
  <si>
    <t>GRM.010.010.042</t>
  </si>
  <si>
    <t>GRM.010.010.051</t>
  </si>
  <si>
    <t>GRM.010.010.052</t>
  </si>
  <si>
    <t xml:space="preserve"> </t>
  </si>
  <si>
    <t>GRM.010.010.061</t>
  </si>
  <si>
    <t>Determine level of federal agency involvement in cooperative agreement and document results consistent with Uniform Guidance</t>
  </si>
  <si>
    <t>Grants and Cooperative Agreement Act (31 U.S.C 6301-08)</t>
  </si>
  <si>
    <t>GRM.010.010.062</t>
  </si>
  <si>
    <t>Provide level of federal agency involvement in cooperative agreement consistent with Uniform Guidance</t>
  </si>
  <si>
    <t>GRM.010.010.071</t>
  </si>
  <si>
    <t>Determine shared costs and matching funds contribution applicable to the grant program and document results consistent with Uniform Guidance</t>
  </si>
  <si>
    <t>2 CFR 200.201; 2 CFR 200.306; 2 CFR 200.403; Redbook Chapter 10</t>
  </si>
  <si>
    <t>GRM.010.010.072</t>
  </si>
  <si>
    <t>Provide shared costs and matching funds contribution applicable to the grant program consistent with Uniform Guidance</t>
  </si>
  <si>
    <t>GRM.010.010.081</t>
  </si>
  <si>
    <t>Develop or update grant program funding formula calculation and document results</t>
  </si>
  <si>
    <t>No Authoritative Reference Identified</t>
  </si>
  <si>
    <t>GRM.010.010.082</t>
  </si>
  <si>
    <t>Provide grant program funding formula calculation</t>
  </si>
  <si>
    <t>GRM.010.010.091</t>
  </si>
  <si>
    <t>Capture Federal regulatory, Federal statutory and agency-specific policy/guidance information applicable to grant program consistent with Uniform Guidance</t>
  </si>
  <si>
    <t>2 CFR 200.203</t>
  </si>
  <si>
    <t>GRM.010.010.092</t>
  </si>
  <si>
    <t>Capture Federal and agency-specific policy information on indirect cost rate reimbursement and limitations or exclusions as to types or amount of cost items applicable to the grant program consistent with Uniform Guidance</t>
  </si>
  <si>
    <t>2 CFR 200.403; 2 CFR 200.414; Appendix III to Part 200</t>
  </si>
  <si>
    <t>Provide grant program package for funding opportunity development consistent with Uniform Guidance</t>
  </si>
  <si>
    <t>GRM.010.010.101</t>
  </si>
  <si>
    <t>Develop request for funds availability check for commitment for grant program and document results</t>
  </si>
  <si>
    <t>GRM.010.010.102</t>
  </si>
  <si>
    <t>Provide request for funds availability check for commitment for grant program</t>
  </si>
  <si>
    <t>GRM.010.010.111</t>
  </si>
  <si>
    <t>Capture response to request for funds availability check for commitment for grant program</t>
  </si>
  <si>
    <t>GRM.010.010.112</t>
  </si>
  <si>
    <t>Develop request for funds commitment for grant program and document results consistent with OMB Circular A-11</t>
  </si>
  <si>
    <t>OMB Circular A-11, Preparation, Submission, and Execution of the Budget, Section 150</t>
  </si>
  <si>
    <t>Provide request for funds commitment for grant program consistent with OMB Circular A-11</t>
  </si>
  <si>
    <t>GRM.010.010.121</t>
  </si>
  <si>
    <t>Capture grant program budget allocation and term of funding as specified by Uniform Guidance</t>
  </si>
  <si>
    <t>2 CFR 200.210</t>
  </si>
  <si>
    <t>GRM.010.010.122</t>
  </si>
  <si>
    <t>Develop or update grant program funding and spend plan and document results consistent with U.S. Code and OMB Circular A-11</t>
  </si>
  <si>
    <t>U.S.C. Title 31; OMB Circular A-11, Preparation, Submission and Execution of the Budget</t>
  </si>
  <si>
    <t>GRM.010.010.123</t>
  </si>
  <si>
    <t>Provide grant program funding and spend plan consistent with U.S. Code and OMB Circular A-11</t>
  </si>
  <si>
    <t>GRM.010.010.131</t>
  </si>
  <si>
    <t>2 CFR 200.205</t>
  </si>
  <si>
    <t>2 CFR 200.206</t>
  </si>
  <si>
    <t>GRM.010.010.132</t>
  </si>
  <si>
    <t>GRM.010.010.133</t>
  </si>
  <si>
    <t>GRM.010.010.141</t>
  </si>
  <si>
    <t>GRM.010.010.142</t>
  </si>
  <si>
    <t xml:space="preserve">Provide Grant Program Risk Management Plan </t>
  </si>
  <si>
    <t>GRM.010.010.151</t>
  </si>
  <si>
    <t xml:space="preserve">Capture inter-agency services/funding agreement (e.g., IAA, MOA, MOU, LOA) </t>
  </si>
  <si>
    <t>GRM.010.010.152</t>
  </si>
  <si>
    <t xml:space="preserve">Develop or modify inter-agency services/funding agreement (e.g., IAA, MOA, MOU, LOA) and document results </t>
  </si>
  <si>
    <t xml:space="preserve">Provide inter-agency services/funding agreement (e.g., IAA, MOA, MOU, LOA) </t>
  </si>
  <si>
    <t>GRM.010.010.161</t>
  </si>
  <si>
    <t xml:space="preserve">Develop request to transfer funds between Federal agencies and their existing programs and document results </t>
  </si>
  <si>
    <t>GRM.010.010.162</t>
  </si>
  <si>
    <t xml:space="preserve">Provide request to transfer funds between Federal agencies and their existing programs </t>
  </si>
  <si>
    <t>GRM.010.010.171</t>
  </si>
  <si>
    <t>2 CFR 200.519</t>
  </si>
  <si>
    <t>GRM.010.010.172</t>
  </si>
  <si>
    <t>GRM.010.020 Grant Program Funding Opportunity</t>
  </si>
  <si>
    <t>GRM.010.020.011</t>
  </si>
  <si>
    <t>Determine eligibility criteria and document results consistent with Uniform Guidance</t>
  </si>
  <si>
    <t>GRM.010.020.012</t>
  </si>
  <si>
    <t>Provide eligibility criteria and record results consistent with Uniform Guidance</t>
  </si>
  <si>
    <t>GRM.010.020.021</t>
  </si>
  <si>
    <t>Develop application merit review process and criteria and document results consistent with Uniform Guidance</t>
  </si>
  <si>
    <t>2 CFR 200.204</t>
  </si>
  <si>
    <t>GRM.010.020.022</t>
  </si>
  <si>
    <t>Provide application merit review process and criteria consistent with Uniform Guidance</t>
  </si>
  <si>
    <t>GRM.010.020.031</t>
  </si>
  <si>
    <t>GRM.010.020.032</t>
  </si>
  <si>
    <t>Provide applicant risk evaluation criteria consistent with Uniform Guidance</t>
  </si>
  <si>
    <t>GRM.010.020.041</t>
  </si>
  <si>
    <t>2 CFR 200.301; 2 CFR 200.302</t>
  </si>
  <si>
    <t>GRM.010.020.042</t>
  </si>
  <si>
    <t>GRM.010.020.051</t>
  </si>
  <si>
    <t>Determine application period and document results as specified by Uniform Guidance</t>
  </si>
  <si>
    <t>GRM.010.020.052</t>
  </si>
  <si>
    <t>Provide application period as specified by Uniform Guidance</t>
  </si>
  <si>
    <t>GRM.010.020.061</t>
  </si>
  <si>
    <t>Develop application instructions and submission process and document results consistent with Uniform Guidance</t>
  </si>
  <si>
    <t>2 CFR 200.203; 2 CFR 200.204; 2 CFR 200.207</t>
  </si>
  <si>
    <t>GRM.010.020.062</t>
  </si>
  <si>
    <t>Provide application instructions consistent with Uniform Guidance</t>
  </si>
  <si>
    <t>2 CFR 200.207</t>
  </si>
  <si>
    <t>GRM.010.020.071</t>
  </si>
  <si>
    <t>Develop conditions for limited denial of participation (e.g., reason, scope, effective date, term) and document results as specified by Uniform Guidance</t>
  </si>
  <si>
    <t>GRM.010.020.072</t>
  </si>
  <si>
    <t>Provide conditions for limited denial of participation as specified by Uniform Guidance</t>
  </si>
  <si>
    <t>GRM.010.020.081</t>
  </si>
  <si>
    <t>Develop funding opportunity, including all applicable information, route for review and approval and document results as specified by Uniform Guidance</t>
  </si>
  <si>
    <t>GRM.010.020.082</t>
  </si>
  <si>
    <t>GRM.010.020.091</t>
  </si>
  <si>
    <t>Supplemental Appropriation Act</t>
  </si>
  <si>
    <t>GRM.010.020.092</t>
  </si>
  <si>
    <t>GRM.020 Grant Pre-Award Management</t>
  </si>
  <si>
    <t>GRM.020.010 Grant Application Support and Receipt</t>
  </si>
  <si>
    <t>GRM.020.010.011</t>
  </si>
  <si>
    <t>Capture request from applicant for additional information or guidance pertaining to the funding opportunity consistent with Uniform Guidance</t>
  </si>
  <si>
    <t>2 CFR Appendix I to Part 200, Section G</t>
  </si>
  <si>
    <t>GRM.020.010.012</t>
  </si>
  <si>
    <t>Develop response to request from applicant for additional information or guidance pertaining to the funding opportunity and document results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</si>
  <si>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</si>
  <si>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</si>
  <si>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</si>
  <si>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</si>
  <si>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2 CFR Appendix I to Part 200, Section D</t>
  </si>
  <si>
    <t>GRM.020.010.022</t>
  </si>
  <si>
    <t>Determine additional support to submit an application via postal mail, electronic means, or hand-delivery and document results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</si>
  <si>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</si>
  <si>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</si>
  <si>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</si>
  <si>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</si>
  <si>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</si>
  <si>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GRM.020.010.033</t>
  </si>
  <si>
    <t>Evaluate application consistency with application submission instructions and record results consistent with Uniform Guidance</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</si>
  <si>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</si>
  <si>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</si>
  <si>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</si>
  <si>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</si>
  <si>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</si>
  <si>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GRM.020.010.042</t>
  </si>
  <si>
    <t>GRM.020.010.043</t>
  </si>
  <si>
    <t>GRM.020.010.051</t>
  </si>
  <si>
    <t>2 CFR 200.308</t>
  </si>
  <si>
    <t>GRM.020.010.052</t>
  </si>
  <si>
    <t>GRM.020.010.053</t>
  </si>
  <si>
    <t>GRM.020.020 Grant Application Review and Selection</t>
  </si>
  <si>
    <t>GRM.020.020.011</t>
  </si>
  <si>
    <t>Capture information on candidate reviewers consistent with Uniform Guidance</t>
  </si>
  <si>
    <t>2 CFR Appendix I to Part 200, Section E</t>
  </si>
  <si>
    <t>GRM.020.020.012</t>
  </si>
  <si>
    <t>Determine selected reviewers and document results consistent with Uniform Guidance</t>
  </si>
  <si>
    <t>GRM.020.020.013</t>
  </si>
  <si>
    <t>Provide selected reviewers consistent with Uniform Guidance</t>
  </si>
  <si>
    <t>GRM.020.020.014</t>
  </si>
  <si>
    <t>Provide applications to selected reviewers consistent with Uniform Guidance</t>
  </si>
  <si>
    <t>GRM.020.020.021</t>
  </si>
  <si>
    <t>Evaluate application eligibility information and record results consistent with Uniform Guidance</t>
  </si>
  <si>
    <t>2 CFR Appendix I to Part 200, Section C; 36 CFR 72.50; 34 CFR 75.200; 24 CFR Subtitle A, Part 5, Subpart F, 5.601-5.661</t>
  </si>
  <si>
    <t>GRM.020.020.022</t>
  </si>
  <si>
    <t>Provide evaluation results for application eligibility information consistent with Uniform Guidance</t>
  </si>
  <si>
    <t>2 CFR Appendix I to Part 200, Section C</t>
  </si>
  <si>
    <t>GRM.020.020.031</t>
  </si>
  <si>
    <t>Evaluate application merit information and record results consistent with Uniform Guidance</t>
  </si>
  <si>
    <t>GRM.020.020.032</t>
  </si>
  <si>
    <t>Provide evaluation results for application merit information consistent with Uniform Guidance</t>
  </si>
  <si>
    <t>GRM.020.020.041</t>
  </si>
  <si>
    <t>Evaluate application project budget information and record results consistent with Uniform Guidance</t>
  </si>
  <si>
    <t>2 CFR Appendix I to Part 200, Section D; 36 CFR 72.50; 34 CFR 75.200; 24 CFR Subtitle A, Part 5, Subpart F, 5.601-5.661</t>
  </si>
  <si>
    <t>GRM.020.020.042</t>
  </si>
  <si>
    <t>Provide evaluation results for application project budget information consistent with Uniform Guidance</t>
  </si>
  <si>
    <t>GRM.020.020.051</t>
  </si>
  <si>
    <t>GRM.020.020.052</t>
  </si>
  <si>
    <t>GRM.020.020.061</t>
  </si>
  <si>
    <t>GRM.020.020.062</t>
  </si>
  <si>
    <t>GRM.020.020.063</t>
  </si>
  <si>
    <t>GRM.020.020.064</t>
  </si>
  <si>
    <t>GRM.020.020.065</t>
  </si>
  <si>
    <t>GRM.020.020.066</t>
  </si>
  <si>
    <t>GRM.020.020.071</t>
  </si>
  <si>
    <t>GRM.020.020.072</t>
  </si>
  <si>
    <t>GRM.020.020.081</t>
  </si>
  <si>
    <t>GRM.020.020.082</t>
  </si>
  <si>
    <t>GRM.020.020.083</t>
  </si>
  <si>
    <t>GRM.020.020.091</t>
  </si>
  <si>
    <t>GRM.020.020.092</t>
  </si>
  <si>
    <t>GRM.020.020.101</t>
  </si>
  <si>
    <t>GRM.020.020.102</t>
  </si>
  <si>
    <t>GRM.020.020.103</t>
  </si>
  <si>
    <t>GRM.020.020.111</t>
  </si>
  <si>
    <t>GRM.020.020.112</t>
  </si>
  <si>
    <t>GRM.020.020.121</t>
  </si>
  <si>
    <t>GRM.020.020.122</t>
  </si>
  <si>
    <t>GRM.020.020.131</t>
  </si>
  <si>
    <t>Evaluate exception to permit excluded person to participate in a covered transaction and record results as specified by Uniform Guidance</t>
  </si>
  <si>
    <t>2 CFR 180.135; 2 CFR 180.315; 2 CFR 180.420; 2 CFR 180.425</t>
  </si>
  <si>
    <t>GRM.020.020.132</t>
  </si>
  <si>
    <t>2 CFR 180.110; 2 CFR 180.135; 2 CFR 180.155; 2 CFR 180.315; 2 CFR 180.420; 2 CFR 180.425; 2 CFR 180.430</t>
  </si>
  <si>
    <t>GRM.020.020.141</t>
  </si>
  <si>
    <t>Evaluate conditions for limited denial of participation and record results as specified by Uniform Guidance</t>
  </si>
  <si>
    <t>2 CFR 180.135; 2 CFR 180.300-530</t>
  </si>
  <si>
    <t>GRM.020.020.142</t>
  </si>
  <si>
    <t>Provide evaluation results for conditions for limited denial of participation as specified by Uniform Guidance</t>
  </si>
  <si>
    <t>GRM.020.020.151</t>
  </si>
  <si>
    <t>GRM.020.020.152</t>
  </si>
  <si>
    <t>GRM.020.020.161</t>
  </si>
  <si>
    <t>GRM.020.020.162</t>
  </si>
  <si>
    <t>GRM.020.020.171</t>
  </si>
  <si>
    <t>GRM.020.020.172</t>
  </si>
  <si>
    <t>GRM.020.020.173</t>
  </si>
  <si>
    <t>GRM.020.020.181</t>
  </si>
  <si>
    <t>GRM.020.020.182</t>
  </si>
  <si>
    <t>GRM.020.020.191</t>
  </si>
  <si>
    <t>GRM.020.020.192</t>
  </si>
  <si>
    <t>GRM.020.020.201</t>
  </si>
  <si>
    <t>GRM.020.020.202</t>
  </si>
  <si>
    <t>GRM.020.020.211</t>
  </si>
  <si>
    <t>GRM.020.020.212</t>
  </si>
  <si>
    <t>GRM.020.020.221</t>
  </si>
  <si>
    <t>GRM.020.020.222</t>
  </si>
  <si>
    <t>GRM.030 Grant Award Management</t>
  </si>
  <si>
    <t>GRM.030.010 Grant Award Issuance</t>
  </si>
  <si>
    <t>GRM.030.010.011</t>
  </si>
  <si>
    <t>GRM.030.010.012</t>
  </si>
  <si>
    <t>GRM.030.010.013</t>
  </si>
  <si>
    <t>GRM.030.010.021</t>
  </si>
  <si>
    <t>2 CFR 200.305</t>
  </si>
  <si>
    <t>GRM.030.010.022</t>
  </si>
  <si>
    <t>GRM.030.010.031</t>
  </si>
  <si>
    <t>2 CFR 200.305; Standard Form 270 (Rev. 7-97); Standard Form 271 (Rev. 7-97)</t>
  </si>
  <si>
    <t>GRM.030.010.032</t>
  </si>
  <si>
    <t>GRM.030.010.033</t>
  </si>
  <si>
    <t>GRM.030.010.041</t>
  </si>
  <si>
    <t>GRM.030.010.042</t>
  </si>
  <si>
    <t>GRM.030.010.051</t>
  </si>
  <si>
    <t>GRM.030.010.052</t>
  </si>
  <si>
    <t>Verify bond and/or insurance information and document results as specified by Uniform Guidance</t>
  </si>
  <si>
    <t>GRM.030.010.053</t>
  </si>
  <si>
    <t>Provide verified bond and/or insurance information as specified by Uniform Guidance</t>
  </si>
  <si>
    <t>GRM.030.010.061</t>
  </si>
  <si>
    <t>GRM.030.010.062</t>
  </si>
  <si>
    <t>GRM.030.010.063</t>
  </si>
  <si>
    <t>GRM.030.010.064</t>
  </si>
  <si>
    <t>GRM.030.010.065</t>
  </si>
  <si>
    <t>GRM.030.010.066</t>
  </si>
  <si>
    <t>GRM.030.010.081</t>
  </si>
  <si>
    <t>2 CFR 200.414; 2 CFR 200.415; 2 CFR 200.416; Appendix III-VII to Part 200</t>
  </si>
  <si>
    <t>GRM.030.010.082</t>
  </si>
  <si>
    <t>GRM.030.010.091</t>
  </si>
  <si>
    <t>Government Accountability Office (GAO), Principles of Federal Appropriations Law, Third Edition, Vo. 2, Chapter 10, Federal Assistance: Grants and Cooperative Agreements, p. 10-106</t>
  </si>
  <si>
    <t>GRM.030.010.101</t>
  </si>
  <si>
    <t>GRM.030.010.102</t>
  </si>
  <si>
    <t>2 CFR 200.204; 2 CFR 200.207; 2 CFR 200.208; 2 CFR 200.209; 2 CFR 200.210; 2 CFR 200.211</t>
  </si>
  <si>
    <t>GRM.030.010.103</t>
  </si>
  <si>
    <t>GRM.030.010.111</t>
  </si>
  <si>
    <t>GRM.030.010.112</t>
  </si>
  <si>
    <t>GRM.030.010.121</t>
  </si>
  <si>
    <t>GRM.030.010.122</t>
  </si>
  <si>
    <t>Government Accountability Office, Principles of Federal Appropriations Law, Third Edition, Vo. 2, Chapter 10, Federal Assistance: Grants and Cooperative Agreements, p. 10-106</t>
  </si>
  <si>
    <t>GRM.030.010.131</t>
  </si>
  <si>
    <t>GRM.030.010.132</t>
  </si>
  <si>
    <t>GRM.030.010.141</t>
  </si>
  <si>
    <t>GRM.030.010.142</t>
  </si>
  <si>
    <t>GRM.030.010.151</t>
  </si>
  <si>
    <t>Develop notification for unsuccessful applicants and document results consistent with Uniform Guidance</t>
  </si>
  <si>
    <t>2 CFR 200.213</t>
  </si>
  <si>
    <t>GRM.030.010.152</t>
  </si>
  <si>
    <t>Provide notification to unsuccessful applicants consistent with Uniform Guidance</t>
  </si>
  <si>
    <t>GRM.030.010.153</t>
  </si>
  <si>
    <t>GRM.030.010.161</t>
  </si>
  <si>
    <t>GRM.030.010.162</t>
  </si>
  <si>
    <t>GRM.030.010.163</t>
  </si>
  <si>
    <t>GRM.030.020 Grant Award Payment Processing</t>
  </si>
  <si>
    <t>GRM.030.020.011</t>
  </si>
  <si>
    <t>GRM.030.020.012</t>
  </si>
  <si>
    <t>GRM.030.020.013</t>
  </si>
  <si>
    <t>GRM.030.020.031</t>
  </si>
  <si>
    <t>GRM.030.020.032</t>
  </si>
  <si>
    <t>GRM.030.020.041</t>
  </si>
  <si>
    <t>GRM.030.020.042</t>
  </si>
  <si>
    <t>GRM.030.020.051</t>
  </si>
  <si>
    <t>2 CFR 200.339</t>
  </si>
  <si>
    <t>GRM.030.020.052</t>
  </si>
  <si>
    <t>GRM.030.020.053</t>
  </si>
  <si>
    <t>GRM.030.020.061</t>
  </si>
  <si>
    <t>GRM.030.020.062</t>
  </si>
  <si>
    <t>GRM.030.020.071</t>
  </si>
  <si>
    <t xml:space="preserve">Develop request for funds availability check for payment and document results </t>
  </si>
  <si>
    <t>GRM.030.020.072</t>
  </si>
  <si>
    <t xml:space="preserve">Provide request for funds availability check for payment </t>
  </si>
  <si>
    <t>GRM.030.020.081</t>
  </si>
  <si>
    <t xml:space="preserve">Capture response to request for funds availability check for payment </t>
  </si>
  <si>
    <t>GRM.030.020.082</t>
  </si>
  <si>
    <t>Develop request for disbursement and document results consistent with Uniform Guidance</t>
  </si>
  <si>
    <t>Provide request for disbursement consistent with Uniform Guidance</t>
  </si>
  <si>
    <t>GRM.030.020.091</t>
  </si>
  <si>
    <t>GRM.030.020.092</t>
  </si>
  <si>
    <t>GRM.030.020.093</t>
  </si>
  <si>
    <t>GRM.030.020.101</t>
  </si>
  <si>
    <t>GRM.030.020.102</t>
  </si>
  <si>
    <t>GRM.040 Grant Post-Award Management and Closeout</t>
  </si>
  <si>
    <t>GRM.040.010 Grant Award Modification</t>
  </si>
  <si>
    <t>GRM.040.010.011</t>
  </si>
  <si>
    <t>GRM.040.010.012</t>
  </si>
  <si>
    <t>GRM.040.010.013</t>
  </si>
  <si>
    <t>GRM.040.010.014</t>
  </si>
  <si>
    <t>GRM.040.010.021</t>
  </si>
  <si>
    <t>GRM.040.010.022</t>
  </si>
  <si>
    <t>GRM.040.010.031</t>
  </si>
  <si>
    <t>GRM.040.010.032</t>
  </si>
  <si>
    <t>GRM.040.010.041</t>
  </si>
  <si>
    <t>2 CFR 200.407</t>
  </si>
  <si>
    <t>GRM.040.010.042</t>
  </si>
  <si>
    <t>GRM.040.010.043</t>
  </si>
  <si>
    <t>Provide evaluation results for special or unusual costs approval including timeframe or scope consistent with Uniform Guidance</t>
  </si>
  <si>
    <t>GRM.040.010.051</t>
  </si>
  <si>
    <t>2 CFR 200.340</t>
  </si>
  <si>
    <t>GRM.040.010.052</t>
  </si>
  <si>
    <t>GRM.040.010.053</t>
  </si>
  <si>
    <t>GRM.040.010.054</t>
  </si>
  <si>
    <t>Provide written notification of termination, in whole or in part, including the termination conditions and effective date consistent with Uniform Guidance</t>
  </si>
  <si>
    <t>2 CFR 200.340; 2 CFR 200.341</t>
  </si>
  <si>
    <t>GRM.040.010.061</t>
  </si>
  <si>
    <t>GRM.040.010.062</t>
  </si>
  <si>
    <t>GRM.040.010.063</t>
  </si>
  <si>
    <t>GRM.040.010.071</t>
  </si>
  <si>
    <t>Develop request for funds availability check for obligation of additional funding and document results consistent with Uniform Guidance</t>
  </si>
  <si>
    <t>GRM.040.010.072</t>
  </si>
  <si>
    <t>Provide request for funds availability check for obligation of additional funding consistent with Uniform Guidance</t>
  </si>
  <si>
    <t>GRM.040.010.081</t>
  </si>
  <si>
    <t>Develop request for obligation of additional or reduction in funding and document results consistent with GAO Principles of Federal Appropriations Law</t>
  </si>
  <si>
    <t>GRM.040.010.082</t>
  </si>
  <si>
    <t>Provide request for obligation of additional or reduction in funding consistent with GAO Principles of Federal Appropriations Law</t>
  </si>
  <si>
    <t>GRM.040.010.091</t>
  </si>
  <si>
    <t>GRM.040.010.092</t>
  </si>
  <si>
    <t>2 CFR 200.309</t>
  </si>
  <si>
    <t>GRM.040.010.101</t>
  </si>
  <si>
    <t>GRM.040.010.102</t>
  </si>
  <si>
    <t>GRM.040.010.103</t>
  </si>
  <si>
    <t>JFMIP Grant Financial System Requirements, 2000, Grants Overview Process, Pre-Award</t>
  </si>
  <si>
    <t>GRM.040.010.111</t>
  </si>
  <si>
    <t>GRM.040.010.112</t>
  </si>
  <si>
    <t>GRM.040.010.113</t>
  </si>
  <si>
    <t>GRM.040.020 Grant Award Performance Review</t>
  </si>
  <si>
    <t>GRM.040.020.011</t>
  </si>
  <si>
    <t>GRM.040.020.012</t>
  </si>
  <si>
    <t>2 CFR 200.329</t>
  </si>
  <si>
    <t>GRM.040.020.013</t>
  </si>
  <si>
    <t>GRM.040.020.014</t>
  </si>
  <si>
    <t>GRM.040.020.015</t>
  </si>
  <si>
    <t>GRM.040.020.021</t>
  </si>
  <si>
    <t>GRM.040.020.022</t>
  </si>
  <si>
    <t>GRM.040.020.031</t>
  </si>
  <si>
    <t>GRM.040.020.032</t>
  </si>
  <si>
    <t>GRM.040.020.033</t>
  </si>
  <si>
    <t>GRM.040.020.041</t>
  </si>
  <si>
    <t>Grants Management Body of Knowledge (GMBoK) Guide, 2017</t>
  </si>
  <si>
    <t>GRM.040.020.042</t>
  </si>
  <si>
    <t>GRM.040.020.051</t>
  </si>
  <si>
    <t>GRM.040.020.052</t>
  </si>
  <si>
    <t>Conduct desk review of performance information and document results</t>
  </si>
  <si>
    <t>GRM.040.020.053</t>
  </si>
  <si>
    <t>Provide desk review of performance information results</t>
  </si>
  <si>
    <t>GRM.040.020.061</t>
  </si>
  <si>
    <t>GRM.040.020.062</t>
  </si>
  <si>
    <t>GRM.040.020.063</t>
  </si>
  <si>
    <t>GRM.040.020.064</t>
  </si>
  <si>
    <t>GRM.040.020.071</t>
  </si>
  <si>
    <t>GRM.040.020.072</t>
  </si>
  <si>
    <t>GRM.040.020.073</t>
  </si>
  <si>
    <t>GRM.040.020.074</t>
  </si>
  <si>
    <t>GRM.040.020.081</t>
  </si>
  <si>
    <t>GRM.040.020.082</t>
  </si>
  <si>
    <t>GRM.040.020.083</t>
  </si>
  <si>
    <t>GRM.040.020.084</t>
  </si>
  <si>
    <t>GRM.040.020.085</t>
  </si>
  <si>
    <t>GRM.040.020.091</t>
  </si>
  <si>
    <t>GRM.040.020.092</t>
  </si>
  <si>
    <t>GRM.040.020.093</t>
  </si>
  <si>
    <t>GRM.040.020.094</t>
  </si>
  <si>
    <t>GRM.040.020.101</t>
  </si>
  <si>
    <t>GRM.040.020.102</t>
  </si>
  <si>
    <t>GRM.040.020.103</t>
  </si>
  <si>
    <t>GRM.040.020.104</t>
  </si>
  <si>
    <t>GRM.040.020.111</t>
  </si>
  <si>
    <t>GRM.040.020.112</t>
  </si>
  <si>
    <t>GRM.040.020.121</t>
  </si>
  <si>
    <t>2 CFR 200.329; 2 CFR 200.332</t>
  </si>
  <si>
    <t>GRM.040.020.122</t>
  </si>
  <si>
    <t>GRM.040.020.123</t>
  </si>
  <si>
    <t>GRM.040.030 Grant Award Financial Review</t>
  </si>
  <si>
    <t>GRM.040.030.011</t>
  </si>
  <si>
    <t>2 CFR 200.1; 2 CFR 200.302; 2 CFR 200.305; 2 CFR 200.327; 2 CFR 200.402; 2 CFR 200.502; 2 CFR 200.508; 2 CFR 200.510; 2 CFR 200.511; 2 CFR 200.512; Standard Form 425 - Revised 10/11/2011; Standard Form 425a</t>
  </si>
  <si>
    <t>GRM.040.030.012</t>
  </si>
  <si>
    <t>2 CFR 200.1; 2 CFR 200.302; 2 CFR 200.305; 2 CFR 200.328; 2 CFR 200.402; 2 CFR 200.502; 2 CFR 200.508; 2 CFR 200.510; 2 CFR 200.511; 2 CFR 200.512; Standard Form 425 - Revised 10/11/2011; Standard Form 425a</t>
  </si>
  <si>
    <t>GRM.040.030.013</t>
  </si>
  <si>
    <t>2 CFR 200.302; 2 CFR 200.328; 2 CFR 200.502; 2 CFR 200.508; 2 CFR 200.510; 2 CFR 200.511; 2 CFR 200.512</t>
  </si>
  <si>
    <t>GRM.040.030.021</t>
  </si>
  <si>
    <t>GRM.040.030.022</t>
  </si>
  <si>
    <t>GRM.040.030.031</t>
  </si>
  <si>
    <t>GRM.040.030.032</t>
  </si>
  <si>
    <t>Determine action to be taken for recovering the payment of disallowed costs and document results consistent with Uniform Guidance</t>
  </si>
  <si>
    <t>Provide action to be taken information for recovering the payment of disallowed costs consistent with Uniform Guidance</t>
  </si>
  <si>
    <t>Provide notification to grant recipient of action to be taken for recovering the payment of disallowed costs consistent with Uniform Guidance</t>
  </si>
  <si>
    <t>GRM.040.030.051</t>
  </si>
  <si>
    <t>Determine and document value of goods and services received against advance payment</t>
  </si>
  <si>
    <t>GRM.040.030.052</t>
  </si>
  <si>
    <t>Provide value of goods and services received against advance payment</t>
  </si>
  <si>
    <t>GRM.040.030.061</t>
  </si>
  <si>
    <t>Develop and document request for liquidation of liability for advance payment</t>
  </si>
  <si>
    <t>GRM.040.030.062</t>
  </si>
  <si>
    <t>Provide request for liquidation of liability for advance payment</t>
  </si>
  <si>
    <t>GRM.040.030.071</t>
  </si>
  <si>
    <t>Evaluate earned interest information on payments in interest-bearing accounts and record results as specified by Uniform Guidance</t>
  </si>
  <si>
    <t>GRM.040.030.072</t>
  </si>
  <si>
    <t>Provide evaluation results for earned interest information on payments in interest-bearing accounts as specified by Uniform Guidance</t>
  </si>
  <si>
    <t>GRM.040.030.081</t>
  </si>
  <si>
    <t>2 CFR 200.425</t>
  </si>
  <si>
    <t>GRM.040.030.082</t>
  </si>
  <si>
    <t>GRM.040.030.091</t>
  </si>
  <si>
    <t>2 CFR 200.306; 2 CFR 200.434; 45 CFR 650.1 thru 650.19, Patents</t>
  </si>
  <si>
    <t>GRM.040.030.092</t>
  </si>
  <si>
    <t>Evaluate cost sharing contributions and record results consistent with Uniform Guidance</t>
  </si>
  <si>
    <t>2 CFR 200.306; 2 CFR 200.434</t>
  </si>
  <si>
    <t>JFMIP Grant Financial system Requirements, JFMIP-SR-00-3, June 2000, Pre-Award</t>
  </si>
  <si>
    <t>GRM.040.030.093</t>
  </si>
  <si>
    <t>Provide evaluation results for cost sharing contributions consistent with Uniform Guidance</t>
  </si>
  <si>
    <t>GRM.040.030.101</t>
  </si>
  <si>
    <t>2 CFR 200.306</t>
  </si>
  <si>
    <t>GRM.040.030.102</t>
  </si>
  <si>
    <t>Evaluate request to include unrecovered indirect (F&amp;A) costs in cost sharing and record results as specified by Uniform Guidance</t>
  </si>
  <si>
    <t>GRM.040.030.103</t>
  </si>
  <si>
    <t>Provide evaluation results for request to include unrecovered indirect (F&amp;A) costs in cost sharing as specified by Uniform Guidance</t>
  </si>
  <si>
    <t>GRM.040.030.111</t>
  </si>
  <si>
    <t>GRM.040.030.112</t>
  </si>
  <si>
    <t>2 CFR 200.342</t>
  </si>
  <si>
    <t>2 CFR 200.343</t>
  </si>
  <si>
    <t>GRM.040.030.121</t>
  </si>
  <si>
    <t>Determine cost adjustments or refunds due to the Federal Government, including interest, and document results consistent with Uniform Guidance</t>
  </si>
  <si>
    <t>GRM.040.030.122</t>
  </si>
  <si>
    <t>GRM.040.030.131</t>
  </si>
  <si>
    <t>GRM.040.030.132</t>
  </si>
  <si>
    <t>GRM.040.030.141</t>
  </si>
  <si>
    <t>GRM.040.030.142</t>
  </si>
  <si>
    <t>GRM.040.030.143</t>
  </si>
  <si>
    <t>GRM.040.030.151</t>
  </si>
  <si>
    <t>GRM.040.030.152</t>
  </si>
  <si>
    <t>GRM.040.030.161</t>
  </si>
  <si>
    <t>GRM.040.030.162</t>
  </si>
  <si>
    <t>GRM.040.030.163</t>
  </si>
  <si>
    <t>GRM.040.030.171</t>
  </si>
  <si>
    <t>GRM.040.030.172</t>
  </si>
  <si>
    <t>GRM.040.030.181</t>
  </si>
  <si>
    <t>GRM.040.030.182</t>
  </si>
  <si>
    <t>Conduct desk review of financial information and document results</t>
  </si>
  <si>
    <t>GRM.040.030.183</t>
  </si>
  <si>
    <t xml:space="preserve">Provide desk review of financial information results </t>
  </si>
  <si>
    <t>GRM.040.030.191</t>
  </si>
  <si>
    <t>GRM.040.030.192</t>
  </si>
  <si>
    <t>GRM.040.030.193</t>
  </si>
  <si>
    <t>GRM.040.030.194</t>
  </si>
  <si>
    <t>GRM.040.030.201</t>
  </si>
  <si>
    <t>GRM.040.030.202</t>
  </si>
  <si>
    <t>GRM.040.030.203</t>
  </si>
  <si>
    <t>GRM.040.030.204</t>
  </si>
  <si>
    <t>GRM.040.030.211</t>
  </si>
  <si>
    <t>GRM.040.030.212</t>
  </si>
  <si>
    <t>GRM.040.030.213</t>
  </si>
  <si>
    <t>GRM.040.030.214</t>
  </si>
  <si>
    <t>GRM.040.030.215</t>
  </si>
  <si>
    <t>GRM.040.030.221</t>
  </si>
  <si>
    <t>GRM.040.030.222</t>
  </si>
  <si>
    <t>GRM.040.030.223</t>
  </si>
  <si>
    <t>GRM.040.030.224</t>
  </si>
  <si>
    <t>GRM.040.030.231</t>
  </si>
  <si>
    <t>GRM.040.030.232</t>
  </si>
  <si>
    <t>GRM.040.030.233</t>
  </si>
  <si>
    <t>GRM.040.030.234</t>
  </si>
  <si>
    <t>GRM.040.030.241</t>
  </si>
  <si>
    <t>GRM.040.030.242</t>
  </si>
  <si>
    <t>GRM.040.030.251</t>
  </si>
  <si>
    <t>2 CFR 200.311; 2 CFR 200.312; 2 CFR 200.313</t>
  </si>
  <si>
    <t>GRM.040.030.252</t>
  </si>
  <si>
    <t>GRM.040.030.253</t>
  </si>
  <si>
    <t>Provide evaluation results inventory information for Federally owned property and equipment consistent with Uniform Guidance</t>
  </si>
  <si>
    <t>GRM.040.030.261</t>
  </si>
  <si>
    <t>2 CFR 200.328; 2 CFR 200.332</t>
  </si>
  <si>
    <t>GRM.040.030.262</t>
  </si>
  <si>
    <t>GRM.040.030.263</t>
  </si>
  <si>
    <t>GRM.040.040 Grant Award Compliance Review</t>
  </si>
  <si>
    <t>GRM.040.040.011</t>
  </si>
  <si>
    <t>Grants Management Body of Knowledge (GMBoK) Guide, 2017, Chapter 6</t>
  </si>
  <si>
    <t>GRM.040.040.013</t>
  </si>
  <si>
    <t>GRM.040.040.021</t>
  </si>
  <si>
    <t>GRM.040.040.022</t>
  </si>
  <si>
    <t>GRM.040.040.023</t>
  </si>
  <si>
    <t>GRM.040.040.031</t>
  </si>
  <si>
    <t>GRM.040.040.032</t>
  </si>
  <si>
    <t>GRM.040.040.033</t>
  </si>
  <si>
    <t>GRM.040.040.041</t>
  </si>
  <si>
    <t>GRM.040.040.042</t>
  </si>
  <si>
    <t>GRM.040.040.051</t>
  </si>
  <si>
    <t>GRM.040.040.052</t>
  </si>
  <si>
    <t>GRM.040.040.053</t>
  </si>
  <si>
    <t>GRM.040.040.061</t>
  </si>
  <si>
    <t>2 CFR 180.970</t>
  </si>
  <si>
    <t>GRM.040.040.062</t>
  </si>
  <si>
    <t>GRM.040.040.071</t>
  </si>
  <si>
    <t>2 CFR 200.334; 2 CFR 200.1</t>
  </si>
  <si>
    <t>GRM.040.040.072</t>
  </si>
  <si>
    <t>2 CFR 182.225</t>
  </si>
  <si>
    <t>GRM.040.040.073</t>
  </si>
  <si>
    <t>2 CFR 200.303</t>
  </si>
  <si>
    <t>GRM.040.040.074</t>
  </si>
  <si>
    <t>GRM.040.040.081</t>
  </si>
  <si>
    <t>2 CFR 200.332</t>
  </si>
  <si>
    <t>GRM.040.040.082</t>
  </si>
  <si>
    <t>GRM.040.040.091</t>
  </si>
  <si>
    <t>Conduct desk review of compliance information and document results</t>
  </si>
  <si>
    <t>GRM.040.040.092</t>
  </si>
  <si>
    <t>Provide desk review of compliance information results</t>
  </si>
  <si>
    <t>GRM.040.040.093</t>
  </si>
  <si>
    <t>GRM.040.040.094</t>
  </si>
  <si>
    <t>GRM.040.040.101</t>
  </si>
  <si>
    <t>GRM.040.040.102</t>
  </si>
  <si>
    <t>GRM.040.040.103</t>
  </si>
  <si>
    <t>GRM.040.040.111</t>
  </si>
  <si>
    <t>GRM.040.040.112</t>
  </si>
  <si>
    <t>GRM.040.040.113</t>
  </si>
  <si>
    <t>GRM.040.040.114</t>
  </si>
  <si>
    <t>GRM.040.040.121</t>
  </si>
  <si>
    <t>GRM.040.040.122</t>
  </si>
  <si>
    <t>GRM.040.040.123</t>
  </si>
  <si>
    <t>GRM.040.040.124</t>
  </si>
  <si>
    <t>GRM.040.040.131</t>
  </si>
  <si>
    <t>2 CFR 200.1; 2 CFR 200.303</t>
  </si>
  <si>
    <t>GRM.040.040.132</t>
  </si>
  <si>
    <t>GRM.040.040.133</t>
  </si>
  <si>
    <t>GRM.040.040.134</t>
  </si>
  <si>
    <t>GRM.040.040.135</t>
  </si>
  <si>
    <t>GRM.040.040.141</t>
  </si>
  <si>
    <t>GRM.040.040.142</t>
  </si>
  <si>
    <t>GRM.040.040.143</t>
  </si>
  <si>
    <t>GRM.040.040.144</t>
  </si>
  <si>
    <t>GRM.040.040.151</t>
  </si>
  <si>
    <t>2 CFR 200.512</t>
  </si>
  <si>
    <t>GRM.040.040.152</t>
  </si>
  <si>
    <t>GRM.040.040.153</t>
  </si>
  <si>
    <t>GRM.040.040.154</t>
  </si>
  <si>
    <t>GRM.040.040.155</t>
  </si>
  <si>
    <t>GRM.040.040.161</t>
  </si>
  <si>
    <t>GRM.040.040.162</t>
  </si>
  <si>
    <t>GRM.040.040.171</t>
  </si>
  <si>
    <t>GRM.040.040.172</t>
  </si>
  <si>
    <t>GRM.040.040.181</t>
  </si>
  <si>
    <t>GRM.040.040.182</t>
  </si>
  <si>
    <t>GRM.040.040.183</t>
  </si>
  <si>
    <t>GRM.040.040.191</t>
  </si>
  <si>
    <t>GRM.040.040.192</t>
  </si>
  <si>
    <t>2 CFR 200.341</t>
  </si>
  <si>
    <t>GRM.040.040.193</t>
  </si>
  <si>
    <t>GRM.040.040.201</t>
  </si>
  <si>
    <t>GRM.040.040.202</t>
  </si>
  <si>
    <t>GRM.040.040.203</t>
  </si>
  <si>
    <t>2 CFR 180.155; Federal Funding Accountability and Transparency Act of 2006 or Transparency Act—Public Law 109-282, as amended by section 6202(a) of Public Law 110-252 (31 U.S.C. 6101)</t>
  </si>
  <si>
    <t>GRM.040.040.211</t>
  </si>
  <si>
    <t>GRM.040.040.212</t>
  </si>
  <si>
    <t>GRM.040.040.213</t>
  </si>
  <si>
    <t>GRM.040.040.214</t>
  </si>
  <si>
    <t>GRM.040.040.221</t>
  </si>
  <si>
    <t>GRM.040.040.222</t>
  </si>
  <si>
    <t>GRM.040.040.223</t>
  </si>
  <si>
    <t>GRM.040.050 Grant Award Risk Management</t>
  </si>
  <si>
    <t>GRM.040.060 Grant Award Closeout</t>
  </si>
  <si>
    <t>GRM.040.060.011</t>
  </si>
  <si>
    <t>2 CFR 200.344</t>
  </si>
  <si>
    <t>GRM.040.060.012</t>
  </si>
  <si>
    <t>GRM.040.060.013</t>
  </si>
  <si>
    <t>GRM.040.060.021</t>
  </si>
  <si>
    <t>GRM.040.060.022</t>
  </si>
  <si>
    <t>GRM.040.060.023</t>
  </si>
  <si>
    <t>GRM.040.060.031</t>
  </si>
  <si>
    <t>2 CFR 200.344; 2 CFR 200.345; 2 CFR 200.346</t>
  </si>
  <si>
    <t>GRM.040.060.032</t>
  </si>
  <si>
    <t>GRM.040.060.033</t>
  </si>
  <si>
    <t>GRM.040.060.034</t>
  </si>
  <si>
    <t>GRM.040.060.041</t>
  </si>
  <si>
    <t>GRM.040.060.042</t>
  </si>
  <si>
    <t>GRM.040.060.043</t>
  </si>
  <si>
    <t>GRM.040.060.051</t>
  </si>
  <si>
    <t>GRM.040.060.052</t>
  </si>
  <si>
    <t>GRM.040.060.061</t>
  </si>
  <si>
    <t>GRM.040.060.062</t>
  </si>
  <si>
    <t>GRM.040.060.063</t>
  </si>
  <si>
    <t>GRM.040.060.071</t>
  </si>
  <si>
    <t>Capture property information consistent with Uniform Guidance</t>
  </si>
  <si>
    <t>GRM.040.060.072</t>
  </si>
  <si>
    <t>GRM.040.060.073</t>
  </si>
  <si>
    <t>GRM.040.060.081</t>
  </si>
  <si>
    <t>GRM.040.060.082</t>
  </si>
  <si>
    <t>GRM.040.060.091</t>
  </si>
  <si>
    <t>GRM.040.060.092</t>
  </si>
  <si>
    <t>GRM.040.060.101</t>
  </si>
  <si>
    <t>GRM.040.060.102</t>
  </si>
  <si>
    <t>GRM.040.060.111</t>
  </si>
  <si>
    <t>GRM.040.060.112</t>
  </si>
  <si>
    <t>GRM.040.060.113</t>
  </si>
  <si>
    <t>GRM.040.060.121</t>
  </si>
  <si>
    <t>GRM.040.060.122</t>
  </si>
  <si>
    <t>GRM.040.060.131</t>
  </si>
  <si>
    <t>GRM.040.060.132</t>
  </si>
  <si>
    <t>GRM.040.060.141</t>
  </si>
  <si>
    <t>GRM.040.060.142</t>
  </si>
  <si>
    <t>GRM.040.060.143</t>
  </si>
  <si>
    <t>GRM.040.060.151</t>
  </si>
  <si>
    <t>GRM.040.060.152</t>
  </si>
  <si>
    <t>GRM.040.060.161</t>
  </si>
  <si>
    <t>Develop and document request for funds deobligation consistent with Uniform Guidance</t>
  </si>
  <si>
    <t>GRM.040.060.162</t>
  </si>
  <si>
    <t>Provide request for funds deobligation consistent with Uniform Guidance</t>
  </si>
  <si>
    <t>GRM.040.060.171</t>
  </si>
  <si>
    <t>2 CFR 200.344; 2CFR 200.345</t>
  </si>
  <si>
    <t>GRM.040.060.172</t>
  </si>
  <si>
    <t>GRM.040.060.173</t>
  </si>
  <si>
    <t>Provide notification of acceptance of final financial, performance and other reports consistent with Uniform Guidance</t>
  </si>
  <si>
    <t>GRM.040.060.181</t>
  </si>
  <si>
    <t>GRM.040.060.182</t>
  </si>
  <si>
    <t>GRM.040.060.183</t>
  </si>
  <si>
    <t>2 CFR 200.334; 2 CFR 200.336; 2 CFR 200.344; 2 CFR 200.345</t>
  </si>
  <si>
    <t>GRM.040.060.192</t>
  </si>
  <si>
    <t>2 CFR 200.334; 2 CFR 200.335</t>
  </si>
  <si>
    <t>GRM.050 Grant Program Oversight</t>
  </si>
  <si>
    <t>GRM.050.010 Grant Program Reporting and Review</t>
  </si>
  <si>
    <t>GRM.050.010.011</t>
  </si>
  <si>
    <t>Develop program-level performance and financial report information and document results consistent with Uniform Guidance</t>
  </si>
  <si>
    <t>GRM.050.010.012</t>
  </si>
  <si>
    <t>Provide program-level performance and financial report information consistent with Uniform Guidance</t>
  </si>
  <si>
    <t>GRM.050.010.021</t>
  </si>
  <si>
    <t>Evaluate program performance and financial results information and record results consistent with Uniform Guidance</t>
  </si>
  <si>
    <t>GRM.050.010.022</t>
  </si>
  <si>
    <t>Provide results for evaluation of program performance and financial results information consistent with Uniform Guidance</t>
  </si>
  <si>
    <t>GRM.050.010.023</t>
  </si>
  <si>
    <t>GRM.050.010.031</t>
  </si>
  <si>
    <t>Develop grant program input to agency performance and other report(s) (e.g., Performance Accountability Report [PAR]) information) and document results consistent with PL 103-62</t>
  </si>
  <si>
    <t>Public Law 103–62, Government Performance and Results Act (GPRA), 1993</t>
  </si>
  <si>
    <t>GRM.050.010.032</t>
  </si>
  <si>
    <t>Provide grant program input to agency performance and other report(s) (e.g., Performance Accountability Report [PAR]) information consistent with PL 103-62</t>
  </si>
  <si>
    <t>GRM.050.010.041</t>
  </si>
  <si>
    <t>GRM.050.010.042</t>
  </si>
  <si>
    <t>Provide evaluation results for variance between past program liability estimates and the program's actual operating cost consistent with Federal Financial Accounting Technical Release 12</t>
  </si>
  <si>
    <t>GRM.050.010.051</t>
  </si>
  <si>
    <t>Determine grant program risk of material financial misstatement and document results as specified by Financial Accounting Technical Release 12</t>
  </si>
  <si>
    <t>GRM.050.010.052</t>
  </si>
  <si>
    <t>Provide grant program risk of material financial misstatement as specified by Financial Accounting Technical Release 12</t>
  </si>
  <si>
    <t>GRM.050.010.061</t>
  </si>
  <si>
    <t>Determine program liability accrual estimate information and document results consistent with Federal Financial Accounting Technical Release 12</t>
  </si>
  <si>
    <t>GRM.050.010.062</t>
  </si>
  <si>
    <t>Provide program liability accrual estimate information consistent with Federal Financial Accounting Technical Release 12</t>
  </si>
  <si>
    <t>GRM.050.010.071</t>
  </si>
  <si>
    <t xml:space="preserve">Conduct program review of program performance and financial results against program objectives and other program information, and document results </t>
  </si>
  <si>
    <t>GRM.050.010.072</t>
  </si>
  <si>
    <t xml:space="preserve">Provide results from program review of program performance and financial results against program objectives and other program information </t>
  </si>
  <si>
    <t>GRM.050.010.081</t>
  </si>
  <si>
    <t>Public Law 114-117, Grants Oversight and New Efficiency (GONE) Act, 2016</t>
  </si>
  <si>
    <t>GRM.050.010.082</t>
  </si>
  <si>
    <t>GRM.050.010.091</t>
  </si>
  <si>
    <t>Evaluate program compliance with authorizing legislation and record results consistent with Uniform Guidance</t>
  </si>
  <si>
    <t>2 CFR 200.300; Appendix I to Part 200</t>
  </si>
  <si>
    <t>GRM.050.010.092</t>
  </si>
  <si>
    <t>Provide evaluation results of program compliance with authorizing legislation consistent with Uniform Guidance</t>
  </si>
  <si>
    <t>GRM.050.010.101</t>
  </si>
  <si>
    <t>Evaluate program internal controls for compliance with program policies and procedures and record results consistent with OMB Circular A-123</t>
  </si>
  <si>
    <t>Revisions to OMB Circular A-123, Management’s Responsibility for Internal Control</t>
  </si>
  <si>
    <t>GRM.050.010.102</t>
  </si>
  <si>
    <t>Provide evaluation results of program internal controls compliance with program policies and procedures consistent with OMB Circular A-123</t>
  </si>
  <si>
    <t>GRM.050.010.111</t>
  </si>
  <si>
    <t>Capture significant findings reported in past grant program audits consistent with Federal Financial Accounting Technical Release 12</t>
  </si>
  <si>
    <t>GRM.050.010.112</t>
  </si>
  <si>
    <t>Evaluate program significant trends and patterns and record results</t>
  </si>
  <si>
    <t>GRM.050.010.113</t>
  </si>
  <si>
    <t>Provide program significant trends and patterns information</t>
  </si>
  <si>
    <t>GRM.050.010.121</t>
  </si>
  <si>
    <t>Determine and document program input to agency Report on Accountability and Oversight consistent with PL 114-117</t>
  </si>
  <si>
    <t>GRM.050.010.122</t>
  </si>
  <si>
    <t>Provide program input to agency Report on Accountability and Oversight consistent with PL 114-117</t>
  </si>
  <si>
    <t>GRM.050.010.131</t>
  </si>
  <si>
    <t>2 CFR 200.301</t>
  </si>
  <si>
    <t>GRM.050.010.132</t>
  </si>
  <si>
    <t>Provide program lessons learned and promising practices consistent with Uniform Guidance</t>
  </si>
  <si>
    <t>GRM.050.020 Grant Program Closeout</t>
  </si>
  <si>
    <t>GRM.050.020.011</t>
  </si>
  <si>
    <t>GRM.050.020.012</t>
  </si>
  <si>
    <t>GRM.050.020.021</t>
  </si>
  <si>
    <t xml:space="preserve">Evaluate program performance and financial reports to determine the need for grant program funds reprogramming and document results </t>
  </si>
  <si>
    <t>GRM.050.020.022</t>
  </si>
  <si>
    <t xml:space="preserve">Provide grant program funds reprogramming information </t>
  </si>
  <si>
    <t>GRM.050.020.031</t>
  </si>
  <si>
    <t>GRM.050.020.032</t>
  </si>
  <si>
    <t>Evaluate final program significant trends and patterns, identify final program accomplishments, and record results</t>
  </si>
  <si>
    <t>GRM.050.020.033</t>
  </si>
  <si>
    <t>Provide final program significant trends and patterns, and final program accomplishments information</t>
  </si>
  <si>
    <t>GRM.050.020.041</t>
  </si>
  <si>
    <t>GRM.050.020.042</t>
  </si>
  <si>
    <t>Provide final program lessons learned information</t>
  </si>
  <si>
    <t>GRM.050.020.051</t>
  </si>
  <si>
    <t xml:space="preserve">Verify all grant program closeout actions are completed and document results </t>
  </si>
  <si>
    <t>GRM.050.020.052</t>
  </si>
  <si>
    <t>GRM.060 Grant Recipient Oversight</t>
  </si>
  <si>
    <t>GRM.060.010 Grant Recipient Indirect Cost Rate Negotiation</t>
  </si>
  <si>
    <t>GRM.060.010.011</t>
  </si>
  <si>
    <t>Determine grant recipient's cognizant or oversight agency for indirect (F&amp;A) cost rates and document results as specified by Uniform Guidance</t>
  </si>
  <si>
    <t xml:space="preserve">2 CFR 200.414; Appendix III - IX to Part 200 </t>
  </si>
  <si>
    <t>GRM.060.010.012</t>
  </si>
  <si>
    <t>Provide grant recipient's cognizant or oversight agency information for indirect (F&amp;A) cost rates as specified by Uniform Guidance</t>
  </si>
  <si>
    <t>GRM.060.010.021</t>
  </si>
  <si>
    <t>Capture grant recipient submission of indirect (F&amp;A) cost rates proposal and cost allocation plan, including Certificate of Cost Allocation Plan or Certificate of indirect (F&amp;A) Costs consistent with Uniform Guidance</t>
  </si>
  <si>
    <t>2 CFR 200.414-416; Appendix III-VII to Part 200</t>
  </si>
  <si>
    <t>GRM.060.010.022</t>
  </si>
  <si>
    <t>Capture cost accounting practices Disclosure Statement (DS–2), if applicable, consistent with Uniform Guidance</t>
  </si>
  <si>
    <t>2 CFR 200.419</t>
  </si>
  <si>
    <t>2 CFR 200.415; 2 CFR 200.416</t>
  </si>
  <si>
    <t>GRM.060.010.024</t>
  </si>
  <si>
    <t>GRM.060.010.031</t>
  </si>
  <si>
    <t>GRM.060.010.032</t>
  </si>
  <si>
    <t>GRM.060.010.041</t>
  </si>
  <si>
    <t>Determine grant recipient provisional or final indirect (F&amp;A) cost rates information and document results consistent with Uniform Guidance</t>
  </si>
  <si>
    <t xml:space="preserve">2 CFR 200.414; 2 CFR 200.415; 2 CFR 200.416; Appendix III - IX to Part 200 </t>
  </si>
  <si>
    <t>GRM.060.010.042</t>
  </si>
  <si>
    <t>GRM.060.010.051</t>
  </si>
  <si>
    <t>GRM.060.010.052</t>
  </si>
  <si>
    <t>Provide cost allocation plan or indirect (F&amp;A) cost rates information for grant recipients who fail to submit cost allocation plan or indirect (F&amp;A) cost rates proposal consistent with Uniform Guidance</t>
  </si>
  <si>
    <t>GRM.060.010.061</t>
  </si>
  <si>
    <t>Capture grant recipient request for adjustment to negotiated indirect (F&amp;A) cost rates consistent with Uniform Guidance</t>
  </si>
  <si>
    <t>2 CFR 200.411; 2 CFR 200.412; 2 CFR 200.413; 2 CFR 200.414; Appendix III - VII of Part 200</t>
  </si>
  <si>
    <t>GRM.060.010.062</t>
  </si>
  <si>
    <t>GRM.060.010.063</t>
  </si>
  <si>
    <t>GRM.060.010.064</t>
  </si>
  <si>
    <t>Evaluate adjustment or deviation to negotiated indirect (F&amp;A) cost rates and record results consistent with Uniform Guidance</t>
  </si>
  <si>
    <t>GRM.060.010.065</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</si>
  <si>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</si>
  <si>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</si>
  <si>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</si>
  <si>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2 CFR 200.414; 2 CFR 200.431</t>
  </si>
  <si>
    <t>GRM.060.010.072</t>
  </si>
  <si>
    <t>Evaluate grant recipient request for extension of negotiated indirect (F&amp;A) cost rates and record results consistent with Uniform Guidance</t>
  </si>
  <si>
    <t>GRM.060.010.073</t>
  </si>
  <si>
    <t>Provide evaluation results for extension of negotiated indirect (F&amp;A) cost rates, including extension period, consistent with Uniform Guidance</t>
  </si>
  <si>
    <t>GRM.060.020 Grant Recipient Single Audit</t>
  </si>
  <si>
    <t>GRM.060.020.011</t>
  </si>
  <si>
    <r>
      <t xml:space="preserve">Determine </t>
    </r>
    <r>
      <rPr>
        <sz val="11"/>
        <color theme="1"/>
        <rFont val="Calibri"/>
        <family val="2"/>
        <scheme val="minor"/>
      </rPr>
      <t>new grant recipient's cognizant or oversight agency for audit and document results as specified by Uniform Guidance</t>
    </r>
  </si>
  <si>
    <t>2 CFR 200.1; 2 CFR 200.513</t>
  </si>
  <si>
    <t>GRM.060.020.012</t>
  </si>
  <si>
    <t>GRM.060.020.021</t>
  </si>
  <si>
    <t>Develop and document request to reassign grant recipient's cognizant or oversight agency for audit consistent with Uniform Guidance</t>
  </si>
  <si>
    <t>GRM.060.020.022</t>
  </si>
  <si>
    <t xml:space="preserve">Provide request to reassign grant recipient's cognizant or oversight agency for audit consistent with Uniform Guidance </t>
  </si>
  <si>
    <t>GRM.060.020.031</t>
  </si>
  <si>
    <t>Evaluate request to reassign grant recipient's cognizant or oversight agency for audit and record results consistent with Uniform Guidance</t>
  </si>
  <si>
    <t>GRM.060.020.032</t>
  </si>
  <si>
    <t>Provide evaluation results for request to reassign grant recipient's cognizant or oversight agency for audit consistent with Uniform Guidance</t>
  </si>
  <si>
    <t>GRM.060.020.033</t>
  </si>
  <si>
    <t>GRM.060.020.041</t>
  </si>
  <si>
    <t>2 CFR 200.513; OMB Circular No. A-50 Revised, Audit Follow-up, Sept. 29, 1982</t>
  </si>
  <si>
    <t>GRM.060.020.042</t>
  </si>
  <si>
    <t>GRM.060.020.051</t>
  </si>
  <si>
    <t>2 CFR 200.513</t>
  </si>
  <si>
    <t>GRM.060.020.052</t>
  </si>
  <si>
    <t>GRM.060.020.061</t>
  </si>
  <si>
    <t>GRM.060.020.062</t>
  </si>
  <si>
    <t>GRM.060.020.063</t>
  </si>
  <si>
    <t>GRM.060.020.064</t>
  </si>
  <si>
    <t>GRM.060.020.071</t>
  </si>
  <si>
    <t>Capture grant recipient's fiscal year consistent with Uniform Guidance</t>
  </si>
  <si>
    <t>2 CFR 200.501</t>
  </si>
  <si>
    <t>GRM.060.020.072</t>
  </si>
  <si>
    <t>2 CFR 200.501; 2 CFR 200.502</t>
  </si>
  <si>
    <t>GRM.060.020.073</t>
  </si>
  <si>
    <t>Determine grant recipients with expenditures of $750,000 or more in recipient's fiscal year requiring a single audit and document results as specified by Uniform Guidance</t>
  </si>
  <si>
    <t>2 CFR 200.501; 2 CFR 200.502; 2 CFR 200.504</t>
  </si>
  <si>
    <t>GRM.060.020.074</t>
  </si>
  <si>
    <t>Provide grant recipients requiring a single audit as specified by Uniform Guidance</t>
  </si>
  <si>
    <t>GRM.060.020.081</t>
  </si>
  <si>
    <t>2 CFR 200.504</t>
  </si>
  <si>
    <t>GRM.060.020.082</t>
  </si>
  <si>
    <t>GRM.060.020.091</t>
  </si>
  <si>
    <t>Match grant recipients requiring a single audit with single audits received, identify past due single audits, and document results consistent with Uniform Guidance</t>
  </si>
  <si>
    <t>2 CFR 200.501; 2 CHR 200.502; 2 CFR 200.507; 2 CFR 200.512</t>
  </si>
  <si>
    <t>GRM.060.020.092</t>
  </si>
  <si>
    <t>Provide grant recipient past due single audit information consistent with Uniform Guidance</t>
  </si>
  <si>
    <t>GRM.060.020.101</t>
  </si>
  <si>
    <t>Develop and document notification to grant recipients with past due single audit consistent with Uniform Guidance</t>
  </si>
  <si>
    <t>GRM.060.020.102</t>
  </si>
  <si>
    <t>Provide notification to grant recipients with past due single audit consistent with Uniform Guidance</t>
  </si>
  <si>
    <t>GRM.060.020.111</t>
  </si>
  <si>
    <t>Develop agency request to the OMB to change a Type A major program rating from low to high risk for a particular grant recipient and document results consistent with Uniform Guidance</t>
  </si>
  <si>
    <t>2 CFR 200.518</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</si>
  <si>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</si>
  <si>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</si>
  <si>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</si>
  <si>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</si>
  <si>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GRM.060.020.122</t>
  </si>
  <si>
    <t>Develop and document notification to grant recipient and auditor of the change in Type A program risk from low to high consistent with Uniform Guidance</t>
  </si>
  <si>
    <t>GRM.060.020.123</t>
  </si>
  <si>
    <t>Provide notification to grant recipient and auditor of the change in Type A program risk from low to high consistent with Uniform Guidance</t>
  </si>
  <si>
    <t>GRM.060.020.131</t>
  </si>
  <si>
    <t>Capture request from grant recipient for a program-specific audit to be conducted as specified by Uniform Guidance</t>
  </si>
  <si>
    <t>GRM.060.020.132</t>
  </si>
  <si>
    <t>Evaluate grant recipient request for a program-specific audit to be conducted and record results as specified by Uniform Guidance</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</si>
  <si>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</si>
  <si>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</si>
  <si>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</si>
  <si>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</si>
  <si>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GRM.060.020.141</t>
  </si>
  <si>
    <t xml:space="preserve">Develop and document request to grant recipient to audit a Federal program as a major program as specified by Uniform Guidance </t>
  </si>
  <si>
    <t>2 CFR 200.503</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</si>
  <si>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</si>
  <si>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</si>
  <si>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</si>
  <si>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</si>
  <si>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GRM.060.020.152</t>
  </si>
  <si>
    <t xml:space="preserve">Evaluate grant recipient response information that Federal program is being audited as a major program based on risk-based approach and record results consistent with Uniform Guidance </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</si>
  <si>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</si>
  <si>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</si>
  <si>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</si>
  <si>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</si>
  <si>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GRM.060.020.162</t>
  </si>
  <si>
    <t xml:space="preserve">Evaluate grant recipient estimated costs for audit of a Federal program as a major program and record results as specified by Uniform Guidance </t>
  </si>
  <si>
    <t>GRM.060.020.163</t>
  </si>
  <si>
    <t>GRM.060.020.164</t>
  </si>
  <si>
    <t xml:space="preserve">Provide notification to grant recipient that Federal program is to be audited as a major program with the Federal awarding agency paying the cost as specified by Uniform Guidance </t>
  </si>
  <si>
    <t>GRM.060.020.171</t>
  </si>
  <si>
    <t>GRM.060.020.172</t>
  </si>
  <si>
    <t>GRM.060.020.173</t>
  </si>
  <si>
    <t>GRM.060.020.181</t>
  </si>
  <si>
    <t>Capture the inability or unwillingness of grant recipient to have single audit performed as specified by Uniform Guidance</t>
  </si>
  <si>
    <t>GRM.060.020.182</t>
  </si>
  <si>
    <t>Determine action to be taken for the grant recipient's inability or unwillingness to have single audit performed and document results as specified by Uniform Guidance</t>
  </si>
  <si>
    <t>GRM.060.020.183</t>
  </si>
  <si>
    <t>Provide notification of action to be taken to grant recipient concerning inability or unwillingness to have single audit performed consistent with Uniform Guidance</t>
  </si>
  <si>
    <t>GRM.060.020.191</t>
  </si>
  <si>
    <t>Capture grant recipient organizational, identification, and fiscal period information consistent with Uniform Guidance</t>
  </si>
  <si>
    <t>Federal Audit Clearinghouse, Internet Data Entry System (IDES) Instructions, Uniform Guidance, FY 2015-2018, Section 6</t>
  </si>
  <si>
    <t>GRM.060.020.192</t>
  </si>
  <si>
    <t>Capture grant recipient certification official and contact(s) information consistent with Uniform Guidance</t>
  </si>
  <si>
    <t>GRM.060.020.193</t>
  </si>
  <si>
    <t>Capture auditor certification official and contact(s) information consistent with Uniform Guidance</t>
  </si>
  <si>
    <t>Federal Audit Clearinghouse, Internet Data Entry System (IDES) Instructions, Uniform Guidance, FY 2015-2018, Section 3.3 and Section 6</t>
  </si>
  <si>
    <t>GRM.060.020.194</t>
  </si>
  <si>
    <t>Capture grant recipient data collection form information as specified by Uniform Guidance</t>
  </si>
  <si>
    <t xml:space="preserve">2 CFR 200.512; 2 CFR 200, Appendix X; Standard Form-Single Audit Compliance (SF-SAC) Data Collection Form for Reporting on Audits of States, Local Governments, Indian Tribes, Institutions of Higher Education, and Nonprofit Organizations for Fiscal Period Ending Dates in 2019, 2020, or 2021 </t>
  </si>
  <si>
    <t>GRM.060.020.195</t>
  </si>
  <si>
    <r>
      <t>2 CFR 200.507;</t>
    </r>
    <r>
      <rPr>
        <sz val="11"/>
        <color theme="1"/>
        <rFont val="Calibri"/>
        <family val="2"/>
        <scheme val="minor"/>
      </rPr>
      <t xml:space="preserve"> 2 CFR.200.510; 2 CFR 200.511; 2 CFR 200.513; 2 CFR 200.515; 2 CFR 200.516</t>
    </r>
  </si>
  <si>
    <t>GRM.060.020.196</t>
  </si>
  <si>
    <t>Consolidate and document single audit package information consistent with Uniform Guidance</t>
  </si>
  <si>
    <t xml:space="preserve">2 CFR 200.507; 2 CFR.200.510; 2 CFR 200.511; 2 CFR 200.512; 2 CFR 200.513; 2 CFR 200.515; 2 CFR 200.516; </t>
  </si>
  <si>
    <t>GRM.060.020.197</t>
  </si>
  <si>
    <t>2 CFR 200.507; 2 CFR.200.510; 2 CFR 200.511; 2 CFR 200.512; 2 CFR 200.513; 2 CFR 200.515; 2 CFR 200.516;</t>
  </si>
  <si>
    <t>GRM.060.020.201</t>
  </si>
  <si>
    <t>Evaluate grant recipient single audit package information for completeness and submission compliance and record results consistent with Uniform Guidance</t>
  </si>
  <si>
    <t>2 CFR 200.512; 2 CFR 200.515; 2 CFR 200.516</t>
  </si>
  <si>
    <t>Federal Audit Clearinghouse, Internet Data Entry System (IDES) Instructions, Uniform Guidance, FY 2015-2018, Section 4.8</t>
  </si>
  <si>
    <t>GRM.060.020.202</t>
  </si>
  <si>
    <t>Provide evaluation results concerning single audit package information completeness and policy compliance consistent with Uniform Guidance</t>
  </si>
  <si>
    <t>GRM.060.020.203</t>
  </si>
  <si>
    <t>GRM.060.020.204</t>
  </si>
  <si>
    <t>GRM.060.020.211</t>
  </si>
  <si>
    <t>GRM.060.020.212</t>
  </si>
  <si>
    <t>GRM.060.020.213</t>
  </si>
  <si>
    <t>GRM.060.020.214</t>
  </si>
  <si>
    <t>Verify and document certification information for grant recipient single audit package submission consistent with Uniform Guidance</t>
  </si>
  <si>
    <t>GRM.060.020.215</t>
  </si>
  <si>
    <t>GRM.060.020.221</t>
  </si>
  <si>
    <t>Evaluate grant recipient single audit package information and corrective action plan and record results consistent with Uniform Guidance</t>
  </si>
  <si>
    <t>2 CFR 200.507; 2 CFR 200.510; 2 CFR 200.511; 2 CFR 200.513; 2 CFR 200.515; 2 CFR 200.516</t>
  </si>
  <si>
    <t>GRM.060.020.222</t>
  </si>
  <si>
    <t>GRM.060.020.223</t>
  </si>
  <si>
    <t>GRM.060.020.231</t>
  </si>
  <si>
    <t>2 CFR 200.511</t>
  </si>
  <si>
    <t>GRM.060.020.232</t>
  </si>
  <si>
    <t>GRM.060.020.233</t>
  </si>
  <si>
    <t>GRM.060.020.234</t>
  </si>
  <si>
    <t>GRM.060.020.241</t>
  </si>
  <si>
    <t>2 CFR 200.511; 2 CFR 200.512</t>
  </si>
  <si>
    <t>GRM.060.020.242</t>
  </si>
  <si>
    <t>GRM.060.020.251</t>
  </si>
  <si>
    <t>GRM.060.020.252</t>
  </si>
  <si>
    <t>GRM.060.020.253</t>
  </si>
  <si>
    <t>GRM.060.020.261</t>
  </si>
  <si>
    <t>GRM.060.020.262</t>
  </si>
  <si>
    <t>GRM.060.020.263</t>
  </si>
  <si>
    <t>GRM.060.020.271</t>
  </si>
  <si>
    <t>GRM.060.020.272</t>
  </si>
  <si>
    <t>GRM.060.020.273</t>
  </si>
  <si>
    <t>GRM.060.020.281</t>
  </si>
  <si>
    <t>GRM.060.020.282</t>
  </si>
  <si>
    <t>GRM.060.020.283</t>
  </si>
  <si>
    <t>GRM.060.020.284</t>
  </si>
  <si>
    <t>GRM.060.020.291</t>
  </si>
  <si>
    <t>2 CFR 200.511; 2 CFR 200.513; 2 CFR 200.521</t>
  </si>
  <si>
    <t>GRM.060.020.292</t>
  </si>
  <si>
    <t>GRM.060.020.301</t>
  </si>
  <si>
    <t>GRM.060.020.302</t>
  </si>
  <si>
    <t>GRM.060.020.303</t>
  </si>
  <si>
    <t>GRM.060.020.311</t>
  </si>
  <si>
    <t>GRM.060.020.312</t>
  </si>
  <si>
    <t>GRM.060.020.313</t>
  </si>
  <si>
    <t>GRM.060.020.314</t>
  </si>
  <si>
    <t>GRM.060.020.321</t>
  </si>
  <si>
    <t>2 CFR 200.403; 2 CFR 200.404</t>
  </si>
  <si>
    <t>GRM.060.020.322</t>
  </si>
  <si>
    <t>GRM.060.020.331</t>
  </si>
  <si>
    <t>2 CFR 200.410; 2 CFR 200.521</t>
  </si>
  <si>
    <t>GRM.060.020.332</t>
  </si>
  <si>
    <t>GRM.060.020.333</t>
  </si>
  <si>
    <t>GRM.060.020.341</t>
  </si>
  <si>
    <t>GRM.060.020.342</t>
  </si>
  <si>
    <t>GRM.060.020.343</t>
  </si>
  <si>
    <t>GRM.060.020.351</t>
  </si>
  <si>
    <t>GRM.060.020.352</t>
  </si>
  <si>
    <t>GRM.060.020.361</t>
  </si>
  <si>
    <t>GRM.060.020.362</t>
  </si>
  <si>
    <t>GRM.060.020.371</t>
  </si>
  <si>
    <t>GRM.060.020.372</t>
  </si>
  <si>
    <t>GRM.060.020.381</t>
  </si>
  <si>
    <t>GRM.060.020.382</t>
  </si>
  <si>
    <t>GRM.060.020.391</t>
  </si>
  <si>
    <t>GRM.060.020.392</t>
  </si>
  <si>
    <t>GRM.060.020.401</t>
  </si>
  <si>
    <t>GRM.060.020.402</t>
  </si>
  <si>
    <t>GRM.060.020.403</t>
  </si>
  <si>
    <t>GRM.060.020.411</t>
  </si>
  <si>
    <t>GRM.060.020.412</t>
  </si>
  <si>
    <t>GRM.060.020.421</t>
  </si>
  <si>
    <t>GRM.060.020.422</t>
  </si>
  <si>
    <t>GRM.060.020.431</t>
  </si>
  <si>
    <t>GRM.060.020.432</t>
  </si>
  <si>
    <t>2 CFR 200.511; 2 CFR 200.512; 2 CFR 200.513; 2 CFR 200.516; 2 CFR 200.521</t>
  </si>
  <si>
    <t>GRM.060.020.441</t>
  </si>
  <si>
    <t>GRM.060.020.442</t>
  </si>
  <si>
    <t>GRM.060.020.451</t>
  </si>
  <si>
    <t xml:space="preserve">Develop and document Management Decision Letter (MDL) information and route for review consistent with Uniform Guidance </t>
  </si>
  <si>
    <t>GRM.060.020.452</t>
  </si>
  <si>
    <t>Provide Management Decision Letter (MDL) for review and approval by appropriate parties consistent with Uniform Guidance</t>
  </si>
  <si>
    <t>2 CFR 200.513; 2 CFR 200.521</t>
  </si>
  <si>
    <t>GRM.060.020.461</t>
  </si>
  <si>
    <t>Approve Management Decision Letter (MDL), sign, and document results consistent with Uniform Guidance</t>
  </si>
  <si>
    <t>GRM.060.020.462</t>
  </si>
  <si>
    <t>Provide approval signature information for Management Decision Letter (MDL), including date and time consistent with Uniform Guidance</t>
  </si>
  <si>
    <t>GRM.060.020.463</t>
  </si>
  <si>
    <t>Provide disapproval information and identified issues for Management Decision Letter (MDL) consistent with Uniform Guidance</t>
  </si>
  <si>
    <t>GRM.060.020.471</t>
  </si>
  <si>
    <t>Update Management Decision Letter (MDL) information to address issues and document results consistent with Uniform Guidance</t>
  </si>
  <si>
    <t>GRM.060.020.472</t>
  </si>
  <si>
    <t>Provide updated Management Decision Letter (MDL) for review and approval by appropriate parties consistent with Uniform Guidance</t>
  </si>
  <si>
    <t>GRM.060.020.473</t>
  </si>
  <si>
    <t>Provide Management Decision Letter (MDL) to grant recipient as specified by Uniform Guidance</t>
  </si>
  <si>
    <t>GRM.060.020.474</t>
  </si>
  <si>
    <t>GRM.060.020.481</t>
  </si>
  <si>
    <t>Capture grant recipient Management Decision Letter (MDL) appeal information consistent with Uniform Guidance</t>
  </si>
  <si>
    <t>GRM.060.020.482</t>
  </si>
  <si>
    <t>Evaluate grant recipient Management Decision Letter (MDL) appeal information and record results consistent with Uniform Guidance</t>
  </si>
  <si>
    <t>GRM.060.020.483</t>
  </si>
  <si>
    <t>Provide grant recipient Management Decision Letter (MDL) appeal information evaluation results consistent with Uniform Guidance</t>
  </si>
  <si>
    <t>GRM.060.020.484</t>
  </si>
  <si>
    <t>Provide response to grant recipient concerning Management Decision Letter (MDL) appeal consistent with Uniform Guidance</t>
  </si>
  <si>
    <t>GRM.060.020.491</t>
  </si>
  <si>
    <t>Capture direct reporting information from grant recipient on fraud, waste, or abuse consistent with Uniform Guidance</t>
  </si>
  <si>
    <t>GRM.060.020.492</t>
  </si>
  <si>
    <t>Capture direct reporting information from auditor on grant recipient fraud, waste, or abuse consistent with Uniform Guidance</t>
  </si>
  <si>
    <t>2 CFR 200.513; Generally Accepted Government Auditing Standards (GAGAS) 7.24</t>
  </si>
  <si>
    <t>GRM.060.020.493</t>
  </si>
  <si>
    <t>Evaluate direct reporting information on grant recipient fraud, waste, or abuse, and record results consistent with Uniform Guidance</t>
  </si>
  <si>
    <t>GRM.060.020.494</t>
  </si>
  <si>
    <t>Provide evaluation results concerning direct reporting information on grant recipient fraud, waste, or abuse consistent with Uniform Guidance</t>
  </si>
  <si>
    <t>GRM.060.020.495</t>
  </si>
  <si>
    <t>Provide notification to Federal law enforcement officials of reported grant recipient fraud, waste, or abuse consistent with Uniform Guidance</t>
  </si>
  <si>
    <t>2 CFR 200.513; Generally Accepted Government Auditing Standards (GAGAS) Chapter 7.24</t>
  </si>
  <si>
    <t>GRM.060.020.501</t>
  </si>
  <si>
    <t>Determine course of action for reported grant recipient fraud, waste, or abuse and document results consistent with Uniform Guidance</t>
  </si>
  <si>
    <t>GRM.060.020.502</t>
  </si>
  <si>
    <t>Provide course of action for reported grant recipient fraud, waste, or abuse consistent with Uniform Guidance</t>
  </si>
  <si>
    <t>GRM.060.020.503</t>
  </si>
  <si>
    <t>Provide notification to grant recipient concerning course of action for reported fraud, waste, or abuse consistent with Uniform Guidance</t>
  </si>
  <si>
    <t>GRM.060.020.511</t>
  </si>
  <si>
    <t>Determine affected Federal awarding agencies and other appropriate parties; develop notification with course of action for reported grant recipient fraud, waste, or abuse; and document results as specified by Uniform Guidance</t>
  </si>
  <si>
    <t>GRM.060.020.512</t>
  </si>
  <si>
    <t>Provide notification to key management single audit liaison(s) at affected agencies and other appropriate parties of course of action for reported grant recipient fraud, waste, or abuse as specified by Uniform Guidance</t>
  </si>
  <si>
    <t>GRM.060.020.521</t>
  </si>
  <si>
    <t>2 CFR 200.503; 2 CFR 200.513</t>
  </si>
  <si>
    <t>GRM.060.020.522</t>
  </si>
  <si>
    <t>GRM.060.020.523</t>
  </si>
  <si>
    <t>GRM.060.020.524</t>
  </si>
  <si>
    <t>GRM.060.020.531</t>
  </si>
  <si>
    <t>GRM.060.020.532</t>
  </si>
  <si>
    <t>GRM.060.020.533</t>
  </si>
  <si>
    <t>GRM.060.020.541</t>
  </si>
  <si>
    <t>GRM.060.020.542</t>
  </si>
  <si>
    <t>Identify appropriate parties for notification of receipt of corrective action(s) status information, develop notification, and document results consistent with Uniform Guidance</t>
  </si>
  <si>
    <t>2 CFR 200.511; 2 CFR 200.513</t>
  </si>
  <si>
    <t>GRM.060.020.543</t>
  </si>
  <si>
    <t>Provide notification to appropriate parties of receipt of corrective action(s) status information consistent with Uniform Guidance</t>
  </si>
  <si>
    <t>GRM.060.020.551</t>
  </si>
  <si>
    <t xml:space="preserve">2 CFR 200.511; 2 CFR200.513 </t>
  </si>
  <si>
    <t>GRM.060.020.552</t>
  </si>
  <si>
    <t>GRM.060.020.553</t>
  </si>
  <si>
    <t>GRM.060.020.561</t>
  </si>
  <si>
    <t>GRM.060.020.562</t>
  </si>
  <si>
    <t>GRM.060.020.571</t>
  </si>
  <si>
    <t>GRM.060.020.572</t>
  </si>
  <si>
    <t>GRM.060.020.581</t>
  </si>
  <si>
    <t>GRM.060.020.582</t>
  </si>
  <si>
    <t>GRM.060.020.591</t>
  </si>
  <si>
    <t>GRM.060.020.592</t>
  </si>
  <si>
    <t>GRM.060.020.593</t>
  </si>
  <si>
    <t>GRM.060.020.594</t>
  </si>
  <si>
    <t>GRM.060.020.601</t>
  </si>
  <si>
    <t>GRM.060.020.602</t>
  </si>
  <si>
    <t>GRM.060.020.611</t>
  </si>
  <si>
    <t>GRM.060.020.612</t>
  </si>
  <si>
    <t>GRM.060.020.613</t>
  </si>
  <si>
    <t>GRM.060.020.621</t>
  </si>
  <si>
    <t>GRM.060.020.622</t>
  </si>
  <si>
    <t>GRM.060.020.631</t>
  </si>
  <si>
    <t>GRM.060.020.632</t>
  </si>
  <si>
    <t>GRM.060.020.641</t>
  </si>
  <si>
    <t>GRM.060.020.642</t>
  </si>
  <si>
    <t>GRM.060.020.651</t>
  </si>
  <si>
    <t>GRM.060.020.652</t>
  </si>
  <si>
    <t>GRM.060.020.661</t>
  </si>
  <si>
    <t>GRM.060.020.662</t>
  </si>
  <si>
    <t>GRM.060.020.663</t>
  </si>
  <si>
    <t>GRM.060.020.671</t>
  </si>
  <si>
    <t>GRM.060.020.672</t>
  </si>
  <si>
    <t>GRM.060.020.673</t>
  </si>
  <si>
    <t>GRM.060.020.681</t>
  </si>
  <si>
    <t>GRM.060.020.682</t>
  </si>
  <si>
    <t>GRM.060.020.683</t>
  </si>
  <si>
    <t>Provide notification of major inadequacies or repetitive substandard performance by auditors to state licensing agencies and professional bodies consistent with Uniform Guidance</t>
  </si>
  <si>
    <t>GRM.060.020.691</t>
  </si>
  <si>
    <t>GRM.060.020.692</t>
  </si>
  <si>
    <t>GRM.060.020.693</t>
  </si>
  <si>
    <t>GRM.060.020.701</t>
  </si>
  <si>
    <t>GRM.060.020.702</t>
  </si>
  <si>
    <t>GRM.060.020.711</t>
  </si>
  <si>
    <t>GRM.060.020.712</t>
  </si>
  <si>
    <t>GRM.060.020.721</t>
  </si>
  <si>
    <t>Determine and document auditor compliance checks and compliance supplement updates related to improper payments, fraud, waste, abuse or resulting in government sanctions for compliance supplement updates consistent with Uniform Guidance</t>
  </si>
  <si>
    <t>2 CFR 200.513; 2 CFR Appendix XI to Part 200, Compliance Supplement</t>
  </si>
  <si>
    <t>GRM.060.020.722</t>
  </si>
  <si>
    <t>Provide auditor compliance checks related to improper payments, fraud, waste, abuse or resulting in government sanctions consistent with Uniform Guidance</t>
  </si>
  <si>
    <t>GRM.060.020.723</t>
  </si>
  <si>
    <t>Provide compliance supplement updates to appropriate parties for consistent with Uniform Guidance</t>
  </si>
  <si>
    <t>GRM Business Capability Counts</t>
  </si>
  <si>
    <t>GRM Service Function</t>
  </si>
  <si>
    <t>GRM Service Activity</t>
  </si>
  <si>
    <t>Inputs</t>
  </si>
  <si>
    <t>Processes</t>
  </si>
  <si>
    <t>Outputs</t>
  </si>
  <si>
    <t>Total</t>
  </si>
  <si>
    <t>GRM.010.010</t>
  </si>
  <si>
    <t>Grant Program Set-up and Maintenance</t>
  </si>
  <si>
    <t>GRM.010.020</t>
  </si>
  <si>
    <t>Grant Program Funding Opportunity</t>
  </si>
  <si>
    <t>GRM.020.010</t>
  </si>
  <si>
    <t>Grant Application Support and Receipt</t>
  </si>
  <si>
    <t>GRM.020.020</t>
  </si>
  <si>
    <t>Grant Application Review and Selection</t>
  </si>
  <si>
    <t>GRM.030.010</t>
  </si>
  <si>
    <t>Grant Award Issuance</t>
  </si>
  <si>
    <t>GRM.030.020</t>
  </si>
  <si>
    <t>Grant Award Payment Processing</t>
  </si>
  <si>
    <t>GRM.040.010</t>
  </si>
  <si>
    <t>Grant Award Modification</t>
  </si>
  <si>
    <t>GRM.040.020</t>
  </si>
  <si>
    <t>Grant Award Performance Review</t>
  </si>
  <si>
    <t>GRM.040.030</t>
  </si>
  <si>
    <t>Grant Award Financial Review</t>
  </si>
  <si>
    <t>GRM.040.040</t>
  </si>
  <si>
    <t>Grant Award Compliance Review</t>
  </si>
  <si>
    <t>GRM.040.050</t>
  </si>
  <si>
    <t>Grant Award Risk Management</t>
  </si>
  <si>
    <t>GRM.040.060</t>
  </si>
  <si>
    <t>Grant Award Closeout</t>
  </si>
  <si>
    <t>GRM.050.010</t>
  </si>
  <si>
    <t>Grant Program Reporting and Review</t>
  </si>
  <si>
    <t>GRM.050.020</t>
  </si>
  <si>
    <t>Grant Program Closeout</t>
  </si>
  <si>
    <t>GRM.060.010</t>
  </si>
  <si>
    <t>Grant Recipient Indirect Cost Rate Negotiation</t>
  </si>
  <si>
    <t>GRM.060.020</t>
  </si>
  <si>
    <t>Grant Recipient Single Audit</t>
  </si>
  <si>
    <t>Provide evaluation results for final financial, performance, and other reports consistent with Uniform Guidance</t>
  </si>
  <si>
    <t>Provide acknowledgement of receipt of final financial, performance, and other reports consistent with Uniform Guidance</t>
  </si>
  <si>
    <t>Capture Federal and agency-specific policies, procedures, and general decision making criteria to be followed when justifying deviations from negotiated indirect (F&amp;A) cost rates consistent with Uniform Guidance</t>
  </si>
  <si>
    <t>Capture notification of change in cost accounting practices consistent with uniform guidance</t>
  </si>
  <si>
    <t>2 CFR 200.204; 2 CFR 25.205</t>
  </si>
  <si>
    <t>2 CFR 183.15; 2 CFR 183.30; 2 CFR 200.215</t>
  </si>
  <si>
    <t>Version</t>
  </si>
  <si>
    <t>Date</t>
  </si>
  <si>
    <t>Change Description</t>
  </si>
  <si>
    <t>Status</t>
  </si>
  <si>
    <t>Approved by OMB</t>
  </si>
  <si>
    <t>Pending</t>
  </si>
  <si>
    <t>Provides the publication date and change history of the Business Capabilities workbook</t>
  </si>
  <si>
    <t>2 CFR 200.208; 2 CFR 200.329</t>
  </si>
  <si>
    <t>2 CFR 200.305; 2 CFR 200.345; 2 CFR 200.346</t>
  </si>
  <si>
    <t>Determine Federal award indirect (F&amp;A) cost rate consistent with Uniform Guidance</t>
  </si>
  <si>
    <t>Provide Federal award indirect (F&amp;A) cost rate consistent with Uniform Guidance</t>
  </si>
  <si>
    <t>Provide change information for Federal award agreement terms and conditions based on performance reviews or resolution of performance issues and concerns consistent with Uniform Guidance</t>
  </si>
  <si>
    <t>Provide request for additional information from Federal award recipient for compliance desk review with desk review dates</t>
  </si>
  <si>
    <t>Receive notification of potential Federal award recipient or subrecipient non-compliance (e.g., failure to comply with Never Contract with the Enemy) consistent with Uniform Guidance</t>
  </si>
  <si>
    <t>GRM.010.010.103</t>
  </si>
  <si>
    <t>GRM.010.010.104</t>
  </si>
  <si>
    <t>GRM.010.010.143</t>
  </si>
  <si>
    <t>GRM.010.010.144</t>
  </si>
  <si>
    <t>GRM.010.010.163</t>
  </si>
  <si>
    <t>GRM.010.010.181</t>
  </si>
  <si>
    <t>GRM.010.010.182</t>
  </si>
  <si>
    <t>GRM.010.010.183</t>
  </si>
  <si>
    <t>GRM.030.010.133</t>
  </si>
  <si>
    <t>GRM.030.010.154</t>
  </si>
  <si>
    <t>GRM.030.010.171</t>
  </si>
  <si>
    <t>GRM.030.010.172</t>
  </si>
  <si>
    <t>GRM.030.010.173</t>
  </si>
  <si>
    <t>GRM.030.010.174</t>
  </si>
  <si>
    <t>GRM.030.020.054</t>
  </si>
  <si>
    <t>GRM.030.020.063</t>
  </si>
  <si>
    <t>GRM.030.020.103</t>
  </si>
  <si>
    <t>GRM.030.020.141</t>
  </si>
  <si>
    <t>GRM.030.020.142</t>
  </si>
  <si>
    <t>GRM.030.020.143</t>
  </si>
  <si>
    <t>GRM.040.040.014</t>
  </si>
  <si>
    <t>GRM.060.010.025</t>
  </si>
  <si>
    <t>GRM.040.060.191</t>
  </si>
  <si>
    <t>2 CFR 200.206; 2 CFR 183.15; 2 CFR 183.30; 2 CFR 200.215</t>
  </si>
  <si>
    <t>O</t>
  </si>
  <si>
    <t>p</t>
  </si>
  <si>
    <t>Proposed business capability additions and updates reflecting (1) Single Audit intake modernization and (2) 2 CFR Update include:</t>
  </si>
  <si>
    <t>- Modified program set-up and notice of funding capabilities to include performance goal, target, baseline, and outcome data</t>
  </si>
  <si>
    <t>- Modified award renewal and award modification capabilities to include adjustments to period of performance</t>
  </si>
  <si>
    <t>- Updated authoritative references to align with renumbered sections</t>
  </si>
  <si>
    <t>- Consolidated risk management capabilities into new Service Activity GRM.040.050 Grant Award Risk Management</t>
  </si>
  <si>
    <t>- Consolidated capabilities for establishing receivable for award recipient repayment in the event of disallowed costs and funds paid in advance and not authorized to retain</t>
  </si>
  <si>
    <t>- Refined capabilities and added references for new CFR Part on Never Contract with the Enemy</t>
  </si>
  <si>
    <t>- Aligned language with 2 CFR updates (e.g., "award" to "Federal award", "CFDA" to "assistance listing", "risk profile" to "risk evaluation information")</t>
  </si>
  <si>
    <t>Posted on www.ussm.gsa.gov</t>
  </si>
  <si>
    <t>- Refined capabilities for waiver of prior written approvals and alleviating requirements based on risk evaluation results</t>
  </si>
  <si>
    <t>Evaluate Federal award and Federal award recipient risk evaluation information to identify risk-based requirements, if any, to be included in Federal award terms and conditions consistent with Uniform Guidance</t>
  </si>
  <si>
    <t>Provide risk-based requirements, if any, to be included in Federal award terms and conditions consistent with Uniform Guidance</t>
  </si>
  <si>
    <t>FIBF Overview and Business Capabilities Description</t>
  </si>
  <si>
    <r>
      <t xml:space="preserve">The </t>
    </r>
    <r>
      <rPr>
        <b/>
        <i/>
        <sz val="11"/>
        <color rgb="FF000000"/>
        <rFont val="Calibri"/>
        <family val="2"/>
      </rPr>
      <t>Federal Integrated Business Framework (FIBF)</t>
    </r>
    <r>
      <rPr>
        <sz val="11"/>
        <color theme="1"/>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</si>
  <si>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1"/>
        <color rgb="FF000000"/>
        <rFont val="Calibri"/>
        <family val="2"/>
      </rPr>
      <t>Business Capabilities</t>
    </r>
    <r>
      <rPr>
        <sz val="11"/>
        <color theme="1"/>
        <rFont val="Calibri"/>
        <family val="2"/>
        <scheme val="minor"/>
      </rPr>
      <t xml:space="preserve"> describe specific business actions that need to be performed to accomplish a Grants Management Service Activity.</t>
    </r>
  </si>
  <si>
    <t>Guiding Principles</t>
  </si>
  <si>
    <t>Business Capabilities:</t>
  </si>
  <si>
    <r>
      <t xml:space="preserve">· </t>
    </r>
    <r>
      <rPr>
        <sz val="11"/>
        <color theme="1"/>
        <rFont val="Calibri"/>
        <family val="2"/>
        <scheme val="minor"/>
      </rPr>
      <t>Define the “inputs”, “processes”, and “outputs” (“Lego blocks”) needed to accomplish activities for a Service Area</t>
    </r>
  </si>
  <si>
    <r>
      <t xml:space="preserve">– </t>
    </r>
    <r>
      <rPr>
        <sz val="11"/>
        <color theme="1"/>
        <rFont val="Calibri"/>
        <family val="2"/>
        <scheme val="minor"/>
      </rPr>
      <t>The combination of all the “Lego blocks” represents all the capabilities that are needed by all the agencies/programs; however,</t>
    </r>
  </si>
  <si>
    <r>
      <t xml:space="preserve">– </t>
    </r>
    <r>
      <rPr>
        <sz val="11"/>
        <color theme="1"/>
        <rFont val="Calibri"/>
        <family val="2"/>
        <scheme val="minor"/>
      </rPr>
      <t>Not all “Lego blocks” are needed/used by all agencies/programs (Business Scenarios and Business Use Cases provide information on when they are needed/used)</t>
    </r>
  </si>
  <si>
    <t>• Derive from information in Authoritative References but do not replicate details contained in Authoritative References</t>
  </si>
  <si>
    <t>• Are written from the perspective of the Federal government (not the public or non-Federal entity)</t>
  </si>
  <si>
    <t>• Focus on the what, not the how - what business information needs to come in, what business outcome needs to be accomplished in a process, what business information needs to be provided</t>
  </si>
  <si>
    <t>• Address the full lifecycle business process, even if no Authoritative Reference addresses it.  In those cases, capabilities are created that reflect the necessary flow of information through the process, and bring these potential gaps to the attention of the Service Area’s LoB Managing Partner.</t>
  </si>
  <si>
    <t>• Use language that is agnostic to:</t>
  </si>
  <si>
    <t xml:space="preserve">– Specific agency/program </t>
  </si>
  <si>
    <t>– Who performs the process (e.g., service consumer, internal service organization, external service provider)</t>
  </si>
  <si>
    <t>– System, technology, solution, manual/automated. Choose terms that are neutral to automated/manual and any specific system/solution (shared Federal or commercial service, custom commercial off-the-shelf/Government off-the-shelf (COTS/GOTS) technology)</t>
  </si>
  <si>
    <t>– Specific vendor services/software products</t>
  </si>
  <si>
    <t xml:space="preserve">• Focus on Federal agency processes and information within the boundary of the target Service Area and be cognizant of the terminology of interfacing Service Area(s) </t>
  </si>
  <si>
    <t>Developing the Business Capabilities</t>
  </si>
  <si>
    <t>Business Capability statements identify the following:</t>
  </si>
  <si>
    <t>• Information required by Federal statutes, standards, or guidance to accomplish processes;</t>
  </si>
  <si>
    <t>• Unique processes performed by the Federal Government throughout the grants management lifecycle;</t>
  </si>
  <si>
    <t>• Information required to be exchanged between Federal agencies or reported from agency systems as Federal statutes, standards, or guidance require.</t>
  </si>
  <si>
    <t>Business Capability Development</t>
  </si>
  <si>
    <t>Developing the Capability Statement</t>
  </si>
  <si>
    <t xml:space="preserve">• Derive capability statements from Authoritative References (sometimes called Authoritative Sources). Authoritative References include legislation, regulations, policies, and standards that provide the basis for justifying required functionality or capabilities. (e.g., Public Law, Code of Federal Regulations, Statements of Federal Financial Accounting Standards [SFFAS]). </t>
  </si>
  <si>
    <r>
      <t xml:space="preserve">– </t>
    </r>
    <r>
      <rPr>
        <sz val="11"/>
        <color theme="1"/>
        <rFont val="Calibri"/>
        <family val="2"/>
        <scheme val="minor"/>
      </rPr>
      <t>Include necessary inputs, processes, and outputs found in Authoritative References</t>
    </r>
  </si>
  <si>
    <t>– Use terminology consistent with Authoritative References; terminology may differ from that of individual agencies or other sources</t>
  </si>
  <si>
    <r>
      <t xml:space="preserve">– </t>
    </r>
    <r>
      <rPr>
        <sz val="11"/>
        <color theme="1"/>
        <rFont val="Calibri"/>
        <family val="2"/>
        <scheme val="minor"/>
      </rPr>
      <t>Do not repeat Authoritative Reference content but articulate the action described; map to Authoritative Reference relevant sections for substantiation and detail using the column provided in the capabilities template</t>
    </r>
  </si>
  <si>
    <t xml:space="preserve">• Illustrate the movement of information through the process by using the input, process and output format and applying the following Guidance: </t>
  </si>
  <si>
    <r>
      <t xml:space="preserve">– </t>
    </r>
    <r>
      <rPr>
        <sz val="11"/>
        <color theme="1"/>
        <rFont val="Calibri"/>
        <family val="2"/>
        <scheme val="minor"/>
      </rPr>
      <t>Define one of the following types: Input (I), Process (P), Output (O)</t>
    </r>
  </si>
  <si>
    <r>
      <t xml:space="preserve">– </t>
    </r>
    <r>
      <rPr>
        <sz val="11"/>
        <color theme="1"/>
        <rFont val="Calibri"/>
        <family val="2"/>
        <scheme val="minor"/>
      </rPr>
      <t>Capture (I)s at earliest point in process cycle and reference as needed by subsequent (P)s</t>
    </r>
  </si>
  <si>
    <t xml:space="preserve">– Associate each (I) and (O) with a (P): </t>
  </si>
  <si>
    <t>A (P) can have one or more (I)/(O)s associated with it</t>
  </si>
  <si>
    <t>A (P) may in some cases not have an input, only an output</t>
  </si>
  <si>
    <t>Every (I) should be associated with a (P)</t>
  </si>
  <si>
    <t>Every (O) should be associated with a (P)</t>
  </si>
  <si>
    <t>An (O) from one (P) may become an (I) for another (P), but the (O) statement is not repeated as an (I) statement when used by a later (P) statement</t>
  </si>
  <si>
    <r>
      <t xml:space="preserve">• </t>
    </r>
    <r>
      <rPr>
        <sz val="11"/>
        <color theme="1"/>
        <rFont val="Calibri"/>
        <family val="2"/>
        <scheme val="minor"/>
      </rPr>
      <t>Do not include organizational references in the capability statement other than specific organizational references documented in Authoritative Reference documents; rather focus on the information transfers between Service Areas</t>
    </r>
  </si>
  <si>
    <t>• Must map to one and only one Service Activity (i.e., if similar inputs, processes, outputs are needed in different Service Activities, must include descriptive adjective with the (I), (P) or (O) to distinguish them from each other)</t>
  </si>
  <si>
    <t>Business Capability Structure and Language Conventions</t>
  </si>
  <si>
    <r>
      <t xml:space="preserve">• </t>
    </r>
    <r>
      <rPr>
        <sz val="7"/>
        <color rgb="FF000000"/>
        <rFont val="Calibri"/>
        <family val="2"/>
      </rPr>
      <t xml:space="preserve"> </t>
    </r>
    <r>
      <rPr>
        <sz val="11"/>
        <color theme="1"/>
        <rFont val="Calibri"/>
        <family val="2"/>
        <scheme val="minor"/>
      </rPr>
      <t>Start capability statements with a verb</t>
    </r>
  </si>
  <si>
    <r>
      <t xml:space="preserve">• </t>
    </r>
    <r>
      <rPr>
        <sz val="11"/>
        <color theme="1"/>
        <rFont val="Calibri"/>
        <family val="2"/>
        <scheme val="minor"/>
      </rPr>
      <t>Use common verbs for the Process (P) capability statements (see common verbs list at end)</t>
    </r>
  </si>
  <si>
    <r>
      <t xml:space="preserve">• </t>
    </r>
    <r>
      <rPr>
        <sz val="11"/>
        <color theme="1"/>
        <rFont val="Calibri"/>
        <family val="2"/>
        <scheme val="minor"/>
      </rPr>
      <t>Begin Input (I) statements with “Capture”</t>
    </r>
  </si>
  <si>
    <r>
      <t xml:space="preserve">• </t>
    </r>
    <r>
      <rPr>
        <sz val="11"/>
        <color theme="1"/>
        <rFont val="Calibri"/>
        <family val="2"/>
        <scheme val="minor"/>
      </rPr>
      <t>Begin Output (O) statements with “Provide” and reference a description together with the term “information” (e.g., “Provide [fill in the blank] information”)</t>
    </r>
  </si>
  <si>
    <r>
      <t xml:space="preserve">• </t>
    </r>
    <r>
      <rPr>
        <sz val="11"/>
        <color theme="1"/>
        <rFont val="Calibri"/>
        <family val="2"/>
        <scheme val="minor"/>
      </rPr>
      <t>Use "information" in capability statements instead of "data" or “document” or “report” so as not to constrain the format (exception is if there is a proper name for an output, in which case it should be initial caps on the words (e.g., Statement of Custodial Activity))</t>
    </r>
  </si>
  <si>
    <t>• May include examples (not required), but use only if it helps to clarify the capability’s intention. Reference in parentheses after an “e.g.,” but do not include “etc.” at the end (e.g., example 1, example 2)</t>
  </si>
  <si>
    <r>
      <t>•</t>
    </r>
    <r>
      <rPr>
        <sz val="7"/>
        <color rgb="FF000000"/>
        <rFont val="Calibri"/>
        <family val="2"/>
      </rPr>
      <t xml:space="preserve"> </t>
    </r>
    <r>
      <rPr>
        <sz val="11"/>
        <color theme="1"/>
        <rFont val="Calibri"/>
        <family val="2"/>
        <scheme val="minor"/>
      </rPr>
      <t>End capability statements with:</t>
    </r>
  </si>
  <si>
    <r>
      <t xml:space="preserve">– </t>
    </r>
    <r>
      <rPr>
        <sz val="7"/>
        <color rgb="FF000000"/>
        <rFont val="Calibri"/>
        <family val="2"/>
      </rPr>
      <t xml:space="preserve"> </t>
    </r>
    <r>
      <rPr>
        <i/>
        <sz val="11"/>
        <color rgb="FF000000"/>
        <rFont val="Calibri"/>
        <family val="2"/>
      </rPr>
      <t>As specified by</t>
    </r>
    <r>
      <rPr>
        <sz val="11"/>
        <color theme="1"/>
        <rFont val="Calibri"/>
        <family val="2"/>
        <scheme val="minor"/>
      </rPr>
      <t>: Conveys that the content and meaning as well as format of the Input/Process/Output must match a specification defined in the Authoritative Reference for the capability to be considered satisfied</t>
    </r>
  </si>
  <si>
    <r>
      <t xml:space="preserve">– </t>
    </r>
    <r>
      <rPr>
        <sz val="7"/>
        <color rgb="FF000000"/>
        <rFont val="Calibri"/>
        <family val="2"/>
      </rPr>
      <t xml:space="preserve"> </t>
    </r>
    <r>
      <rPr>
        <i/>
        <sz val="11"/>
        <color rgb="FF000000"/>
        <rFont val="Calibri"/>
        <family val="2"/>
      </rPr>
      <t>Consistent with</t>
    </r>
    <r>
      <rPr>
        <sz val="11"/>
        <color theme="1"/>
        <rFont val="Calibri"/>
        <family val="2"/>
        <scheme val="minor"/>
      </rPr>
      <t>: Conveys that, as long as the content and meaning of the Input/Process/Output are similar to the information in the Authoritative Reference, the capability will be considered satisfied</t>
    </r>
  </si>
  <si>
    <t>–  The absence of either “as specified by” or “consistent with” at the end of a Business Capability statement indicates that an Authoritative or Other Source citation does not establish the need for the capability; the need is established from government-wide business processes</t>
  </si>
  <si>
    <t>2 CFR 200.203; 2 CFR 200.204; 2 CFR 200.205; 2 CFR 200.206; 2 CFR 200.207; 2 CFR 200.209; 2 CFR 200.210</t>
  </si>
  <si>
    <t>2 CFR 200.211</t>
  </si>
  <si>
    <t>2 CFR 200.211; 2 CFR 200.329; 200.208</t>
  </si>
  <si>
    <t>2 CFR 200.201; 2 CFR 200.211; 2 CFR 200.308; 2 CFR 200.208</t>
  </si>
  <si>
    <t>2 CFR 200.208; 2 CFR 200.211; 2 CFR 200.329</t>
  </si>
  <si>
    <t>2 CFR 200.206; 2 CFR 200.211; 2 CFR 200.208</t>
  </si>
  <si>
    <t>2 CFR 200.1; 2 CFR 200.403; 2 CFR 200.420</t>
  </si>
  <si>
    <t>Evaluate Federal award recipient request for payment and supporting documentation, if any, for unallowable costs and record results consistent with Uniform Guidance</t>
  </si>
  <si>
    <t>Provide evaluation results for Federal award recipient request for payment and supporting documentation, if any, for unallowable costs and record results consistent with Uniform Guidance</t>
  </si>
  <si>
    <t>2 CFR 200.1; 2 CFR 200.410</t>
  </si>
  <si>
    <t>Capability Guidelines</t>
  </si>
  <si>
    <t>Provides principles and guidance for developing the Business Capabilities</t>
  </si>
  <si>
    <t>- Clarified capabilities to share award recipient risk information to a (to be determined) “OMB-designated repository” in addition to agency system(s)</t>
  </si>
  <si>
    <t>- Modified indirect cost rate capabilities to specify submission of rate to OMB-designated repository</t>
  </si>
  <si>
    <r>
      <t xml:space="preserve">• </t>
    </r>
    <r>
      <rPr>
        <sz val="11"/>
        <color theme="1"/>
        <rFont val="Calibri"/>
        <family val="2"/>
        <scheme val="minor"/>
      </rPr>
      <t xml:space="preserve">Do not refer to existing government systems; use the generic phrase “OMB-designated repository” </t>
    </r>
  </si>
  <si>
    <t>2 CFR 200.105; 2 CFR 200.211; Appendix I to Part 200</t>
  </si>
  <si>
    <t>2 CFR 200.201; 2 CFR 200.202; 2 CFR 200.203; 2 CFR 200.204; Appendix I to Part 200; U.S.C. authorizing statutes</t>
  </si>
  <si>
    <t>2 CFR 200.202; 2 CFR 200.211; 2 CFR 200.301; Appendix 1 to Part 200</t>
  </si>
  <si>
    <t>2 CFR 200.206; 2 CFR 200.328</t>
  </si>
  <si>
    <t>2 CFR 200.205; Appendix I to Part 200</t>
  </si>
  <si>
    <t>2 CFR 180.110; 2 CFR 25.205; 2 CFR 200.215; Executive Order 12549</t>
  </si>
  <si>
    <t>2 CFR 200.204; 2 CFR 200.211; 2 CFR 200.215; 2 CFR 200.414; 2 CFR 25.205; Appendix I to Part 200</t>
  </si>
  <si>
    <t>2 CFR 170.100; 2 CFR 170.110; 2 CFR 170.115; 2 CFR 180.335; 2 CFR 200.205; 2 CFR 200.206; 2 CFR 200.414</t>
  </si>
  <si>
    <t>2 CFR 200.209; 2 CFR 200.450; 
SF-LLL (Rev. 7-97) Disclosure of Lobbying Activities</t>
  </si>
  <si>
    <t>2 CFR 200.206; 2 CFR 200.207; 2 CFR 25.300; Appendix I to Part 200, Sections C-E</t>
  </si>
  <si>
    <t>2 CFR 200.205; 36 CFR 72.50; 34 CFR 75.200; 24 CFR Subtitle A, Part 5, Subpart F, 5.601-5.661</t>
  </si>
  <si>
    <t>2 CFR Appendix I to Part 200, Section C; 2 CFR 200.205</t>
  </si>
  <si>
    <t>2 CFR 200.206; 2 CFR Part 180</t>
  </si>
  <si>
    <t>2 CFR 200.209; 2 CFR 200.1; 2 CFR 200.209; 2 CFR 200.210; 2 CFR 200.458</t>
  </si>
  <si>
    <t>2 CFR 200.304; 2 CFR 200.211; 2 CFR 200.310; 2 CFR 200.326; 2 CFR 200.427</t>
  </si>
  <si>
    <t>2 CFR 200.304; 2 CFR 200.310; 2 CFR 200.211; 2 CFR 200.310; 2 CFR 200.326; 2 CFR 200.427</t>
  </si>
  <si>
    <t>2 CFR 200.212; 2 CFR 170.200; Federal Funding Accountability and Transparency Act of 2006 or Transparency Act—Public Law 109-282, as amended by section 6202(a) of Public Law 110-252 (31 U.S.C. 6101); Freedom of Information Act (5 U.S.C 552); Controlled unclassified information pursuant to Executive Order 13556</t>
  </si>
  <si>
    <t>2 CFR 200.213; Federal Funding Accountability and Transparency Act of 2006 or Transparency Act—Public Law 109-282, as amended by section 6202(a) of Public Law 110-252 (31 U.S.C. 6101); Freedom of Information Act (5 U.S.C 552); Controlled unclassified information pursuant to Executive Order 13556</t>
  </si>
  <si>
    <t>2 CFR 200.305; 2 CFR 200.302; 
Standard Form 270; 
Standard Form 271</t>
  </si>
  <si>
    <t>2 CFR 200.305; 2 CFR 200.302</t>
  </si>
  <si>
    <t>2 CFR 200.308; 2 CFR 200.309; 2 CFR 200.329</t>
  </si>
  <si>
    <t>2 CFR 200.308; 2 CFR 200.309</t>
  </si>
  <si>
    <t>2 CFR 200.206; 2 CFR 200.308</t>
  </si>
  <si>
    <t>2 CFR 200.208; 2 CFR 200.308; 2 CFR 200.309</t>
  </si>
  <si>
    <t>2 CFR 200.308; 2 CFR 200.309; 2 CFR 200.403</t>
  </si>
  <si>
    <t>2 CFR 200.340; Federal Funding Accountability and Transparency Act of 2006 or Transparency Act—Public Law 109-282, as amended by section 6202(a) of Public Law 110-252 (31 U.S.C. 6101)</t>
  </si>
  <si>
    <t>2 CFR 200.301; 2 CFR 200.329</t>
  </si>
  <si>
    <t>2 CFR 200.301; 2 CFR 200.211; 2 CFR 200.329</t>
  </si>
  <si>
    <t>2 CFR 200.1; 2 CFR 200.301; 2 CFR 200.329</t>
  </si>
  <si>
    <t>2 CFR 200.301; 2 CFR 200.302; 2 CFR 200.328; 2 CFR 200.329</t>
  </si>
  <si>
    <t>2 CFR 200.1; 2 CFR 200.216; 2 CFR 200.302; 2 CFR 200.305; 2 CFR 200.402; 2 CFR 200.403; 2 CFR 200.410; 2 CFR 200.411; 2 CFR 200.415; 2 CFR 200.431; 2 CFR 200.471; Standard Form 425 - Revised 10/11/2011; Standard Form 425a</t>
  </si>
  <si>
    <t>2 CFR 200.1; 2 CFR 200.302; 2 CFR 200.305; 2 CFR 200.402; 2 CFR 200.403; 2 CFR 200.410; 2 CFR 200.411; 2 CFR 200.415; Standard Form 425 - Revised 10/11/2011; Standard Form 425a</t>
  </si>
  <si>
    <t>2 CFR 200.305; 2 CFR 200.1</t>
  </si>
  <si>
    <t>2 CFR 200.343; 45 CFR, Subtitle B, Chapter VI, Part 630, Subpart D, § 630.400</t>
  </si>
  <si>
    <t>2 CFR 200.305; 2 CFR 200.410; 2 CFR 200.411; 2 CFR 200.419</t>
  </si>
  <si>
    <t>2 CFR 200.1; 2 CFR 200.328; Federal Financial Accounting Technical Release 12, Accrual Estimates for Grant Programs</t>
  </si>
  <si>
    <t>2 CFR 200.302; 2 CFR 200.328</t>
  </si>
  <si>
    <t>2 CFR 200.1; 2 CFR 200.302; 2 CFR 200.328</t>
  </si>
  <si>
    <t>2 CFR 200.208; 2 CFR 200.303; 2 CFR 200.328; 2 CFR 200.329; 2 CFR 200.512</t>
  </si>
  <si>
    <t>2 CFR 200.303; 2 CFR 200.1</t>
  </si>
  <si>
    <t>2 CFR 200.320; 2 CFR 200.325; 2 CFR 200.327; Appendix II to Part 200</t>
  </si>
  <si>
    <t>2 CFR 200.318; 2 CFR 200.320; 2 CFR 200.321; 2 CFR 200.323; 2 CFR 200.324; 2 CFR 200.325; 2 CFR 200.326; 2 CFR 200.327; Appendix II to Part 200</t>
  </si>
  <si>
    <t>2 CFR 200.303; 2 CFR 200.329; 2 CFR 183.15; 2 CFR 183.30; 2 CFR 200.215</t>
  </si>
  <si>
    <t>2 CFR 200.303; 2 CFR 183.15; 2 CFR 183.30; 2 CFR 200.215</t>
  </si>
  <si>
    <t>2 CFR 200.310; 2 CFR 200.311; 2 CFR 200.312; 2 CFR 200.313; 2 CFR 200.314; 2 CFR 200.315; 2 CFR 200.316; 2 CFR 200.344; SF-428 Tangible Property Report; SF-428-A Annual Report Form; SF-428-B Final Report; SF-428-C Disposition Request/Report; SF-428-S Supplemental Sheet; SF-429 (9/2011) Real Property Status Report; SF-429-A General Reporting; SF-429-B Request to Acquire, Improve or Furnish; SF-429-C Disposition of Encumbrance Request</t>
  </si>
  <si>
    <t>2 CFR 200.311; 2 CFR 200.312; 2 CFR 200.313; 2 CFR 200.314; 2 CFR 200.315; 2 CFR 200.316; 2 CFR 200.344</t>
  </si>
  <si>
    <t>2 CFR 200.311; 2 CFR 200.312; 2 CFR 200.313; 2 CFR 200.314; 2 CFR 200.315; 2 CFR 200.330; 2 CFR 200.316; 2 CFR 200.344; 2 CFR 200.448; 45 CFR 650; 35 U.S.C. 200-212 commonly called the Bayh-Dole Act, as amended by Title V of Public Law 98-620 (98 stat.3335-3364)</t>
  </si>
  <si>
    <t>2 CFR 200.301 2 CFR 200.302; 2 CFR 200.328; 2 CFR 200.329</t>
  </si>
  <si>
    <t>2 CFR 200.1; Federal Financial Accounting Technical Release 12, Accrual Estimates for Grant Programs</t>
  </si>
  <si>
    <t>2 CFR 200.415; 2 CFR 200.416; 2 CFR 200.419</t>
  </si>
  <si>
    <t>2 CFR 200.414; 2 CFR 200.416; 2 CFR 200.417; 2 CFR 200.418; 2 CFR 200.419</t>
  </si>
  <si>
    <t>2 CFR 200.414; 2 CFR 200.415; 2 CFR 200.416; 2 CFR 200.419; Appendix III-VII to Part 200</t>
  </si>
  <si>
    <t>2 CFR 200.505; 2 CFR 200.339</t>
  </si>
  <si>
    <t>2 CFR 200.339; 2 CFR 200.511; 2 CFR 200.513; 2 CFR 200.521</t>
  </si>
  <si>
    <t>2 CFR 200.342; 2 CFR 200.521</t>
  </si>
  <si>
    <t>2 CFR 200.339; 2 CFR 200.513</t>
  </si>
  <si>
    <t>Develop, document, or update grant program scope, description, purpose, goals, objectives, and eligibility and document results as specified by Uniform Guidance</t>
  </si>
  <si>
    <t>Provide grant program scope, description, purpose, goals, objectives, and eligibility for program package consistent with Uniform Guidance</t>
  </si>
  <si>
    <t>Determine appropriate Federal award instrument (e.g., grant, cooperative agreement, contract) for the program and document results consistent with Uniform Guidance</t>
  </si>
  <si>
    <t>Provide appropriate Federal award instrument for the program consistent with Uniform Guidance</t>
  </si>
  <si>
    <t>Confirm or obtain Assistance Listing number and document results consistent with Uniform Guidance</t>
  </si>
  <si>
    <t>Provide Assistance Listing number consistent with Uniform Guidance</t>
  </si>
  <si>
    <t>Develop or update grant program performance measures, targets, baseline information, information collection, and expected outcomes and document results as specified by Uniform Guidance</t>
  </si>
  <si>
    <t>Provide grant program performance measures, targets, baseline information, information collection, and expected outcomes as specified by Uniform Guidance</t>
  </si>
  <si>
    <t>Develop or update grant program package (e.g., program scope, Assistance Listing number, performance information) and document results consistent with Uniform Guidance</t>
  </si>
  <si>
    <t>Retrieve prior Federal award recipients' risk evaluation information for similar grant programs from OMB-designated repository consistent with Uniform Guidance</t>
  </si>
  <si>
    <t>Retrieve prior Federal award recipients' risk evaluation information for the existing grant program from OMB-designated repository consistent with Uniform Guidance</t>
  </si>
  <si>
    <t>Evaluate prior Federal award recipients' risk evaluation information for similar grant programs or the existing grant program, determine trends and patterns of risks, and record results consistent with Uniform Guidance</t>
  </si>
  <si>
    <t>Provide evaluation results concerning prior Federal award recipients' risk evaluation information trends and patterns for similar grant programs or the existing grant program consistent with Uniform Guidance</t>
  </si>
  <si>
    <t>Retrieve Federal agency grant program(s) information for risk assessment consistent with Uniform Guidance</t>
  </si>
  <si>
    <t>Evaluate Federal agency grant program(s) information, determine agency-designated high-risk grant program(s), and record results consistent with Uniform Guidance</t>
  </si>
  <si>
    <t xml:space="preserve">Provide Federal agency-designated high-risk grant program(s) information to appropriate parties consistent with Uniform Guidance </t>
  </si>
  <si>
    <t>Determine Federal award recipient responsibilities for reporting financial and performance information and document results consistent with Uniform Guidance</t>
  </si>
  <si>
    <t>Provide Federal award recipient responsibilities for reporting financial and performance information consistent with Uniform Guidance</t>
  </si>
  <si>
    <t>Provide funding opportunity information to OMB-designated repository(ies) consistent with Uniform Guidance</t>
  </si>
  <si>
    <t xml:space="preserve">Develop and document notification to Federal award recipient of additional funding availability, including request for an updated project plan </t>
  </si>
  <si>
    <t xml:space="preserve">Provide notification to Federal award recipient of additional funding availability, including request for an updated project plan </t>
  </si>
  <si>
    <t>Capture required organization certifications, including major nonprofit and lobbying organization certifications and representations consistent with Uniform Guidance</t>
  </si>
  <si>
    <t xml:space="preserve">Capture Federal award recipient continuation/renewal application information </t>
  </si>
  <si>
    <t xml:space="preserve">Evaluate Federal award recipient continuation/renewal application information for consistency with submission instructions and record results </t>
  </si>
  <si>
    <t xml:space="preserve">Provide evaluation results for Federal award recipient continuation/renewal application information consistency with submission instructions </t>
  </si>
  <si>
    <t>Capture updated project and budget plans in response to notification of additional funding availability consistent with Uniform Guidance</t>
  </si>
  <si>
    <t>Evaluate updated project and budget plans for additional funding for consistency with submission instructions and record results consistent with Uniform Guidance</t>
  </si>
  <si>
    <t>Provide evaluation results for updated project and budget plans for additional funding consistency with submission instructions consistent with Uniform Guidance</t>
  </si>
  <si>
    <t>Determine and document applicants for potential Federal award consistent with Uniform Guidance</t>
  </si>
  <si>
    <t>Provide applicants for potential Federal award consistent with Uniform Guidance</t>
  </si>
  <si>
    <t>Retrieve applicants for potential Federal award past performance and financial integrity information, if any, from OMB-designated repository(ies) as specified by Uniform Guidance</t>
  </si>
  <si>
    <t>Retrieve applicants for potential Federal award single audit findings and corrective action status information, if any, from OMB-designated repository as specified by Uniform Guidance</t>
  </si>
  <si>
    <t>Retrieve applicants for potential Federal award prior suspension or debarment information, if any, from OMB-designated repository as specified by Uniform Guidance</t>
  </si>
  <si>
    <t>Retrieve risk evaluation information, if any, for applicants for potential Federal award from OMB-designated repository(ies) consistent with Uniform Guidance</t>
  </si>
  <si>
    <t>Evaluate risk for applicants for potential Federal award and record results as specified by Uniform Guidance</t>
  </si>
  <si>
    <t>Provide results for risk evaluation for applicants for potential Federal award as specified by Uniform Guidance</t>
  </si>
  <si>
    <t>Develop and document request to applicants for potential Federal award for additional information concerning risk evaluation results consistent with Uniform Guidance</t>
  </si>
  <si>
    <t>Provide request to applicants for potential Federal award for additional information concerning risk evaluation results consistent with Uniform Guidance</t>
  </si>
  <si>
    <t>Capture additional information from applicants for potential Federal award concerning risk evaluation results consistent with Uniform Guidance</t>
  </si>
  <si>
    <t>Evaluate additional information from applicants for potential Federal award concerning risk evaluation results and record results consistent with Uniform Guidance</t>
  </si>
  <si>
    <t>Provide evaluation results concerning additional information from applicants for potential Federal award concerning risk evaluation results consistent with Uniform Guidance</t>
  </si>
  <si>
    <t>Identify applicants for potential Federal award with unacceptable risk and document results consistent with Uniform Guidance</t>
  </si>
  <si>
    <t>Provide information on applicants for potential Federal award with unacceptable risk consistent with Uniform Guidance</t>
  </si>
  <si>
    <t>Identify risk mitigation actions for applicants for potential Federal award with acceptable risks and document results consistent with Uniform Guidance</t>
  </si>
  <si>
    <t>Provide risk mitigation actions for applicants for potential Federal award with identified risks consistent with Uniform Guidance</t>
  </si>
  <si>
    <t>Develop applicant Federal award recommendations, including funding, route for review and approval and document results consistent with Uniform Guidance</t>
  </si>
  <si>
    <t>Provide applicant Federal award recommendations, including funding, and approvals consistent with Uniform Guidance</t>
  </si>
  <si>
    <t xml:space="preserve">Develop request for funds availability check for commitment for approved Federal award applicants and document results </t>
  </si>
  <si>
    <t xml:space="preserve">Provide request for funds availability check for commitment for approved Federal award applicants </t>
  </si>
  <si>
    <t xml:space="preserve">Capture response to request for funds availability check for commitment for approved Federal award applicants </t>
  </si>
  <si>
    <t>Develop request for funds commitment for approved Federal award applicants and document results consistent with OMB Circular A-11</t>
  </si>
  <si>
    <t>Provide request for funds commitment for approved Federal award applicants consistent with OMB Circular A-11</t>
  </si>
  <si>
    <t>Develop notification to approved award applicants of Federal award selection and document results consistent with Uniform Guidance</t>
  </si>
  <si>
    <t>Provide notification to approved award applicants of Federal award selection consistent with Uniform Guidance</t>
  </si>
  <si>
    <t xml:space="preserve">Evaluate Federal award recipient continuation/renewal applications and record results </t>
  </si>
  <si>
    <t xml:space="preserve">Provide Federal award recipient continuation/renewal applications evaluation results </t>
  </si>
  <si>
    <t xml:space="preserve">Develop Federal award recipient continuation/renewal award recommendations, including funding and period of performance, route for review and approval, and document results </t>
  </si>
  <si>
    <t xml:space="preserve">Provide Federal award recipient continuation/renewal award, including funding and period of performance, and approvals </t>
  </si>
  <si>
    <t xml:space="preserve">Evaluate updated project and budget plans for additional finding and record results </t>
  </si>
  <si>
    <t xml:space="preserve">Provide evaluation results for updated project and budget plans for additional funding </t>
  </si>
  <si>
    <t xml:space="preserve">Develop Federal award recommendations and funding for updated project and budget plans for additional funding, route for review and approval, and document results </t>
  </si>
  <si>
    <t>Provide approved/disapproved Federal awards and funding for updated project and budget plans for additional funding</t>
  </si>
  <si>
    <t>Capture request for approval of costs incurred prior to start date of Federal award agreement period of performance as specified by Uniform Guidance</t>
  </si>
  <si>
    <t>Determine allowance for costs incurred prior to start date of Federal award agreement period of performance and document results consistent with Uniform Guidance</t>
  </si>
  <si>
    <t>Provide determination on allowance for costs incurred prior to start date of Federal award agreement period of performance as specified by Uniform Guidance</t>
  </si>
  <si>
    <t>Develop Federal award advance payment schedule and document results consistent with Uniform Guidance</t>
  </si>
  <si>
    <t>Provide Federal award advance payment schedule consistent with Uniform Guidance</t>
  </si>
  <si>
    <t>Capture Federal award recipient bank account information consistent with Uniform Guidance</t>
  </si>
  <si>
    <t>Verify Federal award recipient bank account information and document results as specified by Uniform Guidance</t>
  </si>
  <si>
    <t>Provide verified Federal award recipient bank account information consistent with Uniform Guidance</t>
  </si>
  <si>
    <t>Determine if bond and/or insurance provisions are applicable for Federal award terms and conditions and document results as specified by Uniform Guidance</t>
  </si>
  <si>
    <t>Provide bond and/or insurance provision information for Federal award terms and conditions as specified by Uniform Guidance</t>
  </si>
  <si>
    <t>Capture Federal award recipient bond and/or insurance information consistent with Uniform Guidance</t>
  </si>
  <si>
    <t>Retrieve Federal award recipient past performance and financial integrity information, if any, from OMB-designated repository(ies) as specified by Uniform Guidance</t>
  </si>
  <si>
    <t>Retrieve Federal award recipient single audit findings and corrective action status information, if any, from OMB-designated repository as specified by Uniform Guidance</t>
  </si>
  <si>
    <t>Retrieve Federal award recipient prior suspension or debarment information, if any, from OMB-designated repository as specified by Uniform Guidance</t>
  </si>
  <si>
    <t>Retrieve Federal award and Federal award recipient risk evaluation information, if any, from OMB-designated repository(ies) consistent with Uniform Guidance</t>
  </si>
  <si>
    <t>Evaluate Federal award and Federal award recipient risk evaluation information to determine if there are changes since Federal award selection and record results consistent with Uniform Guidance</t>
  </si>
  <si>
    <t>Provide evaluation results concerning changes to Federal award and Federal award recipient risk evaluation information consistent with Uniform Guidance</t>
  </si>
  <si>
    <t>Provide Federal award and Federal award recipient risk evaluation information to OMB-designated repository consistent with Uniform Guidance</t>
  </si>
  <si>
    <t>Develop and document Federal awarding agency and Federal award specific terms and conditions, including financial and performance reporting requirements, for inclusion in Federal award agreement and document results consistent with Uniform Guidance</t>
  </si>
  <si>
    <t>Provide Federal awarding agency and Federal award specific terms and conditions, including financial and performance reporting requirements, for inclusion in Federal award agreement consistent with Uniform Guidance</t>
  </si>
  <si>
    <t>Retrieve Federal award recipient provisional or final indirect (F&amp;A) cost rate information consistent with Uniform Guidance</t>
  </si>
  <si>
    <t>Develop Federal award agreement, including grant program information, application package, indirect (F&amp;A) cost information, project and budgets plan, Federal award terms and conditions and other provisions; route for review and approval; and document results as specified by Uniform Guidance</t>
  </si>
  <si>
    <t>Provide Federal award agreement consistent with Uniform Guidance</t>
  </si>
  <si>
    <t>Provide Federal award agreement approval/disapproval consistent with Uniform Guidance</t>
  </si>
  <si>
    <t>Determine funds obligation information for the Federal award and document results consistent with GAO Principles of Federal Appropriations Law</t>
  </si>
  <si>
    <t>Provide funds obligation information for the Federal award consistent with GAO Principles of Federal Appropriations Law</t>
  </si>
  <si>
    <t xml:space="preserve">Develop request for funds availability check for obligation for approved Federal award applicants and document results </t>
  </si>
  <si>
    <t xml:space="preserve">Provide request for funds availability check for obligation for approved Federal award applicants </t>
  </si>
  <si>
    <t xml:space="preserve">Capture response to request for funds availability check for obligation for approved Federal award applicants </t>
  </si>
  <si>
    <t>Develop request for funds obligation for approved Federal award applicants and document results consistent with GAO Principles of Federal Appropriations Law</t>
  </si>
  <si>
    <t>Provide request for funds obligation for approved Federal award applicants consistent with GAO Principles of Federal Appropriations Law</t>
  </si>
  <si>
    <t>Issue Federal award agreement to award recipient consistent with Uniform Guidance</t>
  </si>
  <si>
    <t>Provide Federal award agreement to award recipient consistent with Uniform Guidance</t>
  </si>
  <si>
    <t xml:space="preserve">Capture signed Federal award agreement </t>
  </si>
  <si>
    <t xml:space="preserve">Execute Federal award agreement and document results </t>
  </si>
  <si>
    <t xml:space="preserve">Provide executed Federal award agreement </t>
  </si>
  <si>
    <t>Provide Federal award information to OMB-designated repository(ies) as specified by Uniform Guidance</t>
  </si>
  <si>
    <t>Capture Federal award appeal information from unsuccessful applicant or Federal award recipient</t>
  </si>
  <si>
    <t>Evaluate Federal award appeal information from unsuccessful applicant or Federal award recipient and record results</t>
  </si>
  <si>
    <t>Provide evaluation results for Federal award appeal information from unsuccessful applicant or Federal award recipient</t>
  </si>
  <si>
    <t>Provide response concerning Federal award appeal to unsuccessful applicant or Federal award recipient</t>
  </si>
  <si>
    <t>Capture Federal award recipient request for payment and supporting documentation, if any, as specified by Uniform Guidance</t>
  </si>
  <si>
    <t>Evaluate Federal award recipient request for payment and supporting documentation, if any, and record results consistent with Uniform Guidance</t>
  </si>
  <si>
    <t>Provide evaluation results for Federal award recipient request for payment consistent with Uniform Guidance</t>
  </si>
  <si>
    <t>Evaluate Federal award recipient rate of spending against expected spending and performance information and record results consistent with Uniform Guidance</t>
  </si>
  <si>
    <t>Provide evaluation results for Federal award recipient rate of spending against expected spending and performance information, including issues and concerns, consistent with Uniform Guidance</t>
  </si>
  <si>
    <t>Develop and document request to Federal award recipient for justification for rate of spending issues and concerns consistent with Uniform Guidance</t>
  </si>
  <si>
    <t>Provide request to Federal award recipient for justification for rate of spending issues and concerns consistent with Uniform Guidance</t>
  </si>
  <si>
    <t>Capture justification information from Federal award recipient concerning rate of spending issues consistent with Uniform Guidance</t>
  </si>
  <si>
    <t>Evaluate justification information from Federal award recipient concerning rate of spending issues and concerns, and record results consistent with Uniform Guidance</t>
  </si>
  <si>
    <t>Provide evaluation results for additional information from Federal recipient concerning rate of spending issues and concerns, and record results consistent with Uniform Guidance</t>
  </si>
  <si>
    <t>Provide Federal award recipient rate of spending issues information to OMB-designated repository consistent with Uniform Guidance</t>
  </si>
  <si>
    <t>Determine need for suspension of Federal award payments consistent with Uniform Guidance</t>
  </si>
  <si>
    <t>Provide suspension of Federal award payments information consistent with Uniform Guidance</t>
  </si>
  <si>
    <t>Provide Federal award recipient notification of suspension of Federal award payments consistent with Uniform Guidance</t>
  </si>
  <si>
    <t>Develop and document request for suspension of Federal award payments consistent with Uniform Guidance</t>
  </si>
  <si>
    <t>Provide request for suspension of Federal award recipient payments consistent with Uniform Guidance</t>
  </si>
  <si>
    <t>Develop and document request for termination of suspension of Federal award payments consistent with Uniform Guidance</t>
  </si>
  <si>
    <t>Provide request for termination of suspension of Federal award payments consistent with Uniform Guidance</t>
  </si>
  <si>
    <t>Provide notification to Federal award recipient of termination of suspension of Federal award payments consistent with Uniform Guidance</t>
  </si>
  <si>
    <t>Develop and document request for establishment of receivable for Federal award recipient repayment of disallowed costs consistent with Uniform Guidance</t>
  </si>
  <si>
    <t>Provide request for establishment of receivable for Federal award recipient repayment of disallowed costs consistent with Uniform Guidance</t>
  </si>
  <si>
    <t>Capture information concerning Federal award recipient repayment of disallowed costs consistent with Uniform Guidance</t>
  </si>
  <si>
    <t>Document Federal award recipient repayment of disallowed costs consistent with Uniform Guidance</t>
  </si>
  <si>
    <t>Provide information on Federal award recipient repayment of disallowed costs consistent with Uniform Guidance</t>
  </si>
  <si>
    <t>Develop and document request for establishment of receivable for Federal award funds paid in advance and not authorized to retain (e.g., excess cash, funds not spent, excess interest) consistent with Uniform Guidance</t>
  </si>
  <si>
    <r>
      <t>Provide request for establishment of receivable for Federal award funds paid in advance and</t>
    </r>
    <r>
      <rPr>
        <b/>
        <sz val="11"/>
        <rFont val="Calibri"/>
        <family val="2"/>
        <scheme val="minor"/>
      </rPr>
      <t xml:space="preserve"> </t>
    </r>
    <r>
      <rPr>
        <sz val="11"/>
        <rFont val="Calibri"/>
        <family val="2"/>
        <scheme val="minor"/>
      </rPr>
      <t>not authorized to retain (e.g., excess cash, funds not spent, excess interest) consistent with Uniform Guidance</t>
    </r>
  </si>
  <si>
    <t>Capture information concerning Federal award recipient repayment for Federal award funds paid in advance and not authorized to retain (e.g., excess cash, funds not spent, excess interest) consistent with Uniform Guidance</t>
  </si>
  <si>
    <t>Document Federal award recipient repayment of funds paid in advance and not authorized to retain (e.g., excess cash, funds not spent, excess interest) consistent with Uniform Guidance</t>
  </si>
  <si>
    <t>Provide information on Federal award recipient repayment of funds paid in advance and not authorized to retain (e.g., excess cash, funds not spent, excess interest) consistent with Uniform Guidance</t>
  </si>
  <si>
    <t>Capture Federal award recipient request for Federal award modification (e.g., period of performance, scope, personnel change, project or budget plan change, cost reallocation, remove specific Federal award terms and conditions) consistent with Uniform Guidance</t>
  </si>
  <si>
    <t>Retrieve Federal award and Federal award recipient risk evaluation information applicable to Federal award modification request (e.g., additions, decreases, or changes to services, products, scope, personnel, or timeline) from OMB-designated repository consistent with Uniform Guidance</t>
  </si>
  <si>
    <t>Evaluate Federal award recipient request for Federal award modification and risk evaluation information, including any adjustments to risk-based requirements, and record results consistent with Uniform Guidance</t>
  </si>
  <si>
    <t>Provide evaluation results for Federal award recipient request for Federal award modification as specified by Uniform Guidance</t>
  </si>
  <si>
    <t>Determine date when Federal award recipient may expect a decision in response to an Federal award modification request and document results as specified by Uniform Guidance</t>
  </si>
  <si>
    <t>Provide notification to Federal award recipient of date when Federal award recipient may expect a decision in response to an Federal award modification request as specified by Uniform Guidance</t>
  </si>
  <si>
    <t>Evaluate Federal award recipient request for approval to remove specific Federal award terms and conditions and record results as specified by Uniform Guidance</t>
  </si>
  <si>
    <t>Provide evaluation results for Federal award recipient request for approval to remove specific Federal award terms and conditions as specified by Uniform Guidance</t>
  </si>
  <si>
    <t>Capture Federal award recipient request for approval of special or unusual costs, including supporting documentation, consistent with Uniform Guidance</t>
  </si>
  <si>
    <t>Evaluate request for approval of Federal award recipient special or unusual costs and record results consistent with Uniform Guidance</t>
  </si>
  <si>
    <t>Capture Federal award recipient request for Federal award termination, including conditions, effective date and other supporting documentation consistent with Uniform Guidance</t>
  </si>
  <si>
    <t>Evaluate Federal award recipient request for termination and record results consistent with Uniform Guidance</t>
  </si>
  <si>
    <t>Provide evaluation results of Federal award recipient request for termination consistent with Uniform Guidance</t>
  </si>
  <si>
    <t>Determine Federal award modifications including changes in funding and period of performance, route for review and approval, and document results consistent with Uniform Guidance</t>
  </si>
  <si>
    <t>Provide Federal award modifications including changes in funding and period of performance and record results consistent with Uniform Guidance</t>
  </si>
  <si>
    <t>Provide Federal award modifications approval/disapproval consistent with Uniform Guidance</t>
  </si>
  <si>
    <t>Develop and document request to extend Federal award period of performances for expending obligated funds consistent with Uniform Guidance</t>
  </si>
  <si>
    <t>Provide request to extend Federal award period of performances for expending obligated funds consistent with Uniform Guidance</t>
  </si>
  <si>
    <t>Issue Federal award modification documentation and document results consistent with Uniform Guidance</t>
  </si>
  <si>
    <t>Provide Federal award modification documentation to Federal award recipient consistent with Uniform Guidance</t>
  </si>
  <si>
    <t>Provide Federal award modification information to OMB-designated repository(ies) as specified by Uniform Guidance</t>
  </si>
  <si>
    <t xml:space="preserve">Capture signed Federal award modifications </t>
  </si>
  <si>
    <t xml:space="preserve">Execute Federal award modifications and document results </t>
  </si>
  <si>
    <t xml:space="preserve">Provide executed Federal award modifications </t>
  </si>
  <si>
    <t>Capture Federal award recipient performance reporting information as specified by Uniform Guidance</t>
  </si>
  <si>
    <t>Capture information on significant developments between the scheduled reporting periods (e.g., schedule adjustments due to problems, delays, or favorable developments) provided by the Federal award recipient as specified by Uniform Guidance</t>
  </si>
  <si>
    <t xml:space="preserve">Evaluate Federal award performance information, compare to Federal award agreement and performance goals and objectives, and record results consistent with Uniform Guidance </t>
  </si>
  <si>
    <t xml:space="preserve">Provide evaluation results for Federal award performance information, including issues and concerns, if any, consistent with Uniform Guidance </t>
  </si>
  <si>
    <t>Provide guidance information to assist Federal award recipient in addressing performance issues and concerns consistent with Uniform Guidance</t>
  </si>
  <si>
    <t>Develop and document request to Federal award recipient for additional information concerning performance issues and concerns consistent with Uniform Guidance</t>
  </si>
  <si>
    <t>Provide request to Federal award recipient for additional information concerning performance issues and concerns consistent with Uniform Guidance</t>
  </si>
  <si>
    <t>Capture additional information from Federal award recipient concerning performance issues and concerns consistent with Uniform Guidance</t>
  </si>
  <si>
    <t>Evaluate additional information from Federal award recipient concerning performance issues and concerns and record results consistent with Uniform Guidance</t>
  </si>
  <si>
    <t>Provide evaluation results for additional information from Federal award recipient concerning performance issues and concerns consistent with Uniform Guidance</t>
  </si>
  <si>
    <t>Develop and document notification to Federal award recipient of desk review concerning performance issues and concerns and additional information needed to support review</t>
  </si>
  <si>
    <t>Provide notification to Federal award recipient of desk review concerning performance issues and concerns and additional information needed to support review</t>
  </si>
  <si>
    <t>Capture additional information from Federal award recipient needed for desk review of performance issues and concerns consistent with Uniform Guidance</t>
  </si>
  <si>
    <t xml:space="preserve">Determine Federal award recipient performance issues and concerns requiring follow-up actions and document results consistent with Uniform Guidance </t>
  </si>
  <si>
    <t>Provide Federal award recipient performance issues and concerns requiring follow-up actions information consistent with Uniform Guidance</t>
  </si>
  <si>
    <t>Provide notification to Federal award recipient concerning performance issues and concerns requiring follow-up actions and requesting response consistent with Uniform Guidance</t>
  </si>
  <si>
    <t>Provide Federal award recipient performance issues and concerns requiring follow-up actions to OMB-designated repository consistent with Uniform Guidance</t>
  </si>
  <si>
    <t xml:space="preserve">Capture Federal award recipient response to performance issues and concerns consistent with Uniform Guidance </t>
  </si>
  <si>
    <t>Evaluate Federal award recipient response to performance issues and concerns, and record results consistent with Uniform Guidance</t>
  </si>
  <si>
    <t>Provide evaluation results for Federal award recipient response to performance issues and concerns consistent with Uniform Guidance</t>
  </si>
  <si>
    <t>Provide notification to Federal award recipient to submit improvement plan for performance issues and concerns consistent with Uniform Guidance</t>
  </si>
  <si>
    <t>Capture Federal award recipient improvement plan to address Federal award performance issues and concerns consistent with Uniform Guidance</t>
  </si>
  <si>
    <t>Evaluate Federal award recipient improvement plan to address Federal award performance issues and concerns, and record results consistent with Uniform Guidance</t>
  </si>
  <si>
    <t>Provide evaluation results for Federal award recipient improvement plan to address Federal award performance issues and concerns consistent with Uniform Guidance</t>
  </si>
  <si>
    <t>Provide Federal award recipient's improvement plan to address performance issues and concerns and evaluation results to OMB-designated repository consistent with Uniform Guidance</t>
  </si>
  <si>
    <t>Provide notification to Federal award recipient of approval/disapproval of improvement plan to address Federal award performance issues and concerns consistent with Uniform Guidance</t>
  </si>
  <si>
    <t>Capture Federal award recipient improvement plan status information against performance issues and concerns consistent with Uniform Guidance</t>
  </si>
  <si>
    <t>Evaluate Federal award recipient improvement plan status information against performance issues and concerns and record results consistent with Uniform Guidance</t>
  </si>
  <si>
    <t>Provide evaluation results for Federal award recipient improvement plan status information against performance issues and concerns consistent with Uniform Guidance</t>
  </si>
  <si>
    <t>Provide evaluation results for Federal award recipient improvement plan status information against performance issues and concerns to OMB-designated repository consistent with Uniform Guidance</t>
  </si>
  <si>
    <t>Identify Federal award recipient performance issues and concerns that have been resolved and document results consistent with Uniform Guidance</t>
  </si>
  <si>
    <t>Provide Federal award recipient performance issues and concerns that have been resolved consistent with Uniform Guidance</t>
  </si>
  <si>
    <t>Provide notification of resolution of Federal award recipient performance issues and concerns to Federal award recipient and appropriate parties consistent with Uniform Guidance</t>
  </si>
  <si>
    <t>Provide resolution of Federal award recipient performance issues and concerns to OMB-designated repository consistent with Uniform Guidance</t>
  </si>
  <si>
    <t>Identify changes to Federal award agreement terms and conditions based on performance reviews or resolution of performance issues and concerns and document results consistent with Uniform Guidance</t>
  </si>
  <si>
    <t>Capture consolidated performance report containing subaward recipients' compliance review results consistent with Uniform Guidance</t>
  </si>
  <si>
    <t>Evaluate consolidated performance report containing subaward recipients' performance review results and record results consistent with Uniform Guidance</t>
  </si>
  <si>
    <t>Provide evaluation results for consolidated performance report containing subaward recipients' compliance review results consistent with Uniform Guidance</t>
  </si>
  <si>
    <t>Capture Federal award recipient financial information provided by the Federal award recipient consistent with Uniform Guidance</t>
  </si>
  <si>
    <t>Evaluate Federal award recipient financial information and record results as specified by Uniform Guidance</t>
  </si>
  <si>
    <t>Provide evaluation results for Federal award recipient financial information as specified by Uniform Guidance</t>
  </si>
  <si>
    <t>Evaluate Federal award financial information against Federal award accomplishments related to performance goals and objectives and record results consistent with Uniform Guidance</t>
  </si>
  <si>
    <t>Provide results for evaluation of Federal award financial information against Federal award accomplishments related to performance goals and objectives consistent with Uniform Guidance</t>
  </si>
  <si>
    <t>Evaluate Federal award recipient cost information against Federal award agreement and current non-compliance remedies, including identification of payments made for costs determined to be unallowable and record results consistent with Uniform Guidance</t>
  </si>
  <si>
    <t>Provide evaluation results for Federal award recipient cost information against underlying Federal award agreement, including identification of payments made for costs determined to be unallowable consistent with Uniform Guidance</t>
  </si>
  <si>
    <t>Evaluate Federal award recipient allowable single audit costs for services and record results as specified by Uniform Guidance</t>
  </si>
  <si>
    <t>Provide evaluation results for Federal award recipient allowable single audit costs for services as specified by Uniform Guidance</t>
  </si>
  <si>
    <t>Capture information on cost sharing contributions based on the Federal award agreement consistent with Uniform Guidance</t>
  </si>
  <si>
    <t>Capture Federal award recipient request to include unrecovered indirect (F&amp;A) costs in cost sharing as specified by Uniform Guidance</t>
  </si>
  <si>
    <t xml:space="preserve">Determine whether allowable costs were incurred by Federal award recipient during a suspension or after termination and document results consistent with Uniform Guidance </t>
  </si>
  <si>
    <t>Provide determination results concerning Federal award recipient costs incurred before the effective date of suspension or termination consistent with Uniform Guidance</t>
  </si>
  <si>
    <t>Provide cost adjustments information or refunds information due to the Federal Government, including interest, consistent with Uniform Guidance</t>
  </si>
  <si>
    <t>Determine Federal award liability accrual estimate for Federal award recipient unbilled incurred costs and document results consistent with Federal Financial Accounting Technical Release 12</t>
  </si>
  <si>
    <t>Provide Federal award liability accrual estimate for Federal award recipient unbilled incurred costs consistent with Federal Financial Accounting Technical Release 12</t>
  </si>
  <si>
    <t>Identify and document Federal award recipient financial issues and concerns consistent with Uniform Guidance</t>
  </si>
  <si>
    <t>Provide Federal award recipient financial issues and concerns consistent with Uniform Guidance</t>
  </si>
  <si>
    <t>Provide guidance information to assist Federal award recipient in addressing financial issues and concerns consistent with Uniform Guidance</t>
  </si>
  <si>
    <t>Develop and document request to Federal award recipient for additional information concerning financial issues and concerns consistent with Uniform Guidance</t>
  </si>
  <si>
    <t>Provide request to Federal award recipient for additional information concerning financial issues and concerns consistent with Uniform Guidance</t>
  </si>
  <si>
    <t>Capture additional information from Federal award recipient concerning financial issues and concerns consistent with Uniform Guidance</t>
  </si>
  <si>
    <t>Evaluate additional information from Federal award recipient concerning financial issues and concerns and record results consistent with Uniform Guidance</t>
  </si>
  <si>
    <t>Provide evaluation results for additional information from Federal award recipient concerning financial issues and concerns consistent with Uniform Guidance</t>
  </si>
  <si>
    <t>Develop and document notification to Federal award recipient of desk review concerning financial issues and concerns and additional information needed to support review, if any</t>
  </si>
  <si>
    <t>Provide notification to Federal award recipient of desk review concerning financial issues and concerns and additional information needed to support review, if any</t>
  </si>
  <si>
    <t>Capture additional information from Federal award recipient needed for desk review of financial issues and concerns consistent with Uniform Guidance</t>
  </si>
  <si>
    <t>Determine Federal award recipient financial issues and concerns requiring follow-up actions and document results consistent with Uniform Guidance</t>
  </si>
  <si>
    <t>Provide Federal award recipient financial issues and concerns requiring follow-up actions consistent with Uniform Guidance</t>
  </si>
  <si>
    <t>Provide notification to Federal award recipient of financial issues and concerns requiring follow-up actions and requesting response consistent with Uniform Guidance</t>
  </si>
  <si>
    <t>Provide Federal award recipient financial issues and concerns requiring follow-up actions to OMB-designated repository consistent with Uniform Guidance</t>
  </si>
  <si>
    <t xml:space="preserve">Capture Federal award recipient response to financial issues and concerns consistent with Uniform Guidance </t>
  </si>
  <si>
    <t>Evaluate Federal award recipient response to financial issues and concerns, and record results consistent with Uniform Guidance</t>
  </si>
  <si>
    <t>Provide evaluation results for Federal award recipient response to financial issues and concerns consistent with Uniform Guidance</t>
  </si>
  <si>
    <t>Provide notification to Federal award recipient to submit improvement plan for financial issues and concerns consistent with Uniform Guidance</t>
  </si>
  <si>
    <t>Capture Federal award recipient improvement plan to address award financial issues and concerns consistent with Uniform Guidance</t>
  </si>
  <si>
    <t>Evaluate Federal award recipient improvement plan to address Federal award financial issues and concerns, and record results consistent with Uniform Guidance</t>
  </si>
  <si>
    <t>Provide evaluation results for Federal award recipients improvement plan to address Federal award financial issues and concerns consistent with Uniform Guidance</t>
  </si>
  <si>
    <t>Provide Federal award recipient's improvement plan to address financial issues and concerns and evaluation results to OMB-designated repository consistent with Uniform Guidance</t>
  </si>
  <si>
    <t>Provide notification to Federal award recipient of approval/disapproval of improvement plan to address Federal award financial issues and concerns consistent with Uniform Guidance</t>
  </si>
  <si>
    <t>Capture Federal award recipient improvement plan status information against financial issues and concerns consistent with Uniform Guidance</t>
  </si>
  <si>
    <t>Evaluate Federal award recipient improvement plan status information against financial issues and concerns and record results consistent with Uniform Guidance</t>
  </si>
  <si>
    <t>Provide evaluation results for Federal award recipient improvement plan status information against financial issues and concerns consistent with Uniform Guidance</t>
  </si>
  <si>
    <t>Provide evaluation results for Federal award recipient improvement plan status information against financial issues and concerns to OMB-designated repository consistent with Uniform Guidance</t>
  </si>
  <si>
    <t>Identify Federal award recipient financial issues and concerns that have been resolved and document results consistent with Uniform Guidance</t>
  </si>
  <si>
    <t>Provide Federal award recipient financial issues and concerns that have been resolved consistent with Uniform Guidance</t>
  </si>
  <si>
    <t>Provide notification of resolution of Federal award recipient financial issues and concerns to Federal award recipient and appropriate parties consistent with Uniform Guidance</t>
  </si>
  <si>
    <t>Provide resolution of Federal award recipient financial issues and concerns to OMB-designated repository consistent with Uniform Guidance</t>
  </si>
  <si>
    <t>Identify changes to Federal award agreement terms and conditions based on financial reviews or resolution of financial issues and concerns and document results consistent with Uniform Guidance</t>
  </si>
  <si>
    <t>Provide change information for Federal award agreement terms and conditions based on financial reviews or resolution of financial issues and concerns consistent with Uniform Guidance</t>
  </si>
  <si>
    <t>Capture inventory information for Federally owned property and equipment provided to the Federal award recipient or acquired with Federal award funds consistent with Uniform Guidance</t>
  </si>
  <si>
    <t>Evaluate inventory information for Federally owned property and equipment provided to the Federal award recipient or acquired with Federal award funds and record results consistent with Uniform Guidance</t>
  </si>
  <si>
    <t>Capture consolidated financial report containing subaward recipients' compliance review results consistent with Uniform Guidance</t>
  </si>
  <si>
    <t>Evaluate consolidated financial report containing subaward recipients' financial review results and record results consistent with Uniform Guidance</t>
  </si>
  <si>
    <t>Provide evaluation results for consolidated financial report containing subaward recipients' compliance review results consistent with Uniform Guidance</t>
  </si>
  <si>
    <t>Capture Federal award recipient compliance issues and concerns identified in performance and financial reviews and single audit findings consistent with Uniform Guidance</t>
  </si>
  <si>
    <t>Determine desk review date, develop request for additional information from Federal award recipient for compliance desk review, and document results</t>
  </si>
  <si>
    <t>Develop Federal award recipient pre-site visit checklist information based on grant program package and Federal award agreement and document results consistent with Uniform Guidance</t>
  </si>
  <si>
    <t>Provide Federal award recipient pre-site visit checklist information consistent with Uniform Guidance</t>
  </si>
  <si>
    <t>Provide notification of site visit to Federal award recipient consistent with Uniform Guidance</t>
  </si>
  <si>
    <t>Retrieve Federal award recipient single audit findings and corrective actions status information from OMB-designated repository consistent with Uniform Guidance</t>
  </si>
  <si>
    <t>Evaluate previous Federal award recipient performance information, financial information, and single audit findings and corrective actions status information and record results consistent with Uniform Guidance</t>
  </si>
  <si>
    <t>Provide evaluation results for previous Federal award recipient performance report information, financial report information, and single audit findings and corrective actions status information consistent with Uniform Guidance</t>
  </si>
  <si>
    <t>Evaluate Federal award recipient compliance with internal control standards and record results as specified by Uniform Guidance</t>
  </si>
  <si>
    <t>Provide evaluation results for Federal award recipient compliance with internal control standards as specified by Uniform Guidance</t>
  </si>
  <si>
    <t>Capture Federal award recipient procurement policies and procedures as specified by Uniform Guidance</t>
  </si>
  <si>
    <t>Evaluate Federal award recipient procurement policies and procedures conformance to applicable Federal procurement policies and procedures and record results consistent with Uniform Guidance</t>
  </si>
  <si>
    <t>Provide evaluation results for Federal award recipient procurement policies and procedures conformance to applicable Federal procurement policies and procedures consistent with Uniform Guidance</t>
  </si>
  <si>
    <t>Evaluate Federal award recipient financial reports for nonprocurement transactions that are not covered transactions (e.g., international organization, foreign government) and record results as specified by Uniform Guidance</t>
  </si>
  <si>
    <t>Provide evaluation results for Federal award recipient nonprocurement transactions that are not covered transactions as specified by Uniform Guidance</t>
  </si>
  <si>
    <t>Capture evidence of Federal award recipient compliance with record retention policies as specified by Uniform Guidance</t>
  </si>
  <si>
    <t>Capture notification from Federal award recipient of a criminal drug conviction as specified by Uniform Guidance</t>
  </si>
  <si>
    <t xml:space="preserve">Evaluate Federal award recipient compliance with Federal statutes and regulations, and award agreement terms and conditions and record results consistent with Uniform Guidance </t>
  </si>
  <si>
    <t xml:space="preserve">Provide evaluation results for Federal award recipient compliance with Federal statutes and regulations, and Federal award agreement terms and conditions consistent with Uniform Guidance </t>
  </si>
  <si>
    <t>Evaluate Federal award recipient policies and processes for managing subrecipients and record results consistent with Uniform Guidance</t>
  </si>
  <si>
    <t>Provide evaluation results concerning Federal award recipient policies and processes for managing subrecipients consistent with Uniform Guidance</t>
  </si>
  <si>
    <t>Provide notification to Federal award recipient of desk review of compliance information results</t>
  </si>
  <si>
    <t>Provide guidance information to assist Federal award recipient in addressing compliance issues and concerns</t>
  </si>
  <si>
    <t>Conduct site visit and document compliance review results for Federal award recipient consistent with Uniform Guidance</t>
  </si>
  <si>
    <t>Provide site visit compliance review results for Federal award recipient consistent with Uniform Guidance</t>
  </si>
  <si>
    <t>Provide notification to Federal award recipient concerning site visit compliance review results consistent with Uniform Guidance</t>
  </si>
  <si>
    <t>Determine Federal award recipient compliance issues and concerns requiring follow-up actions and document results consistent with Uniform Guidance</t>
  </si>
  <si>
    <t>Provide Federal award recipient compliance issues and concerns requiring follow-up actions consistent with Uniform Guidance</t>
  </si>
  <si>
    <t>Provide notification to Federal award recipient of compliance issues and concerns requiring follow-up actions and requesting response consistent with Uniform Guidance</t>
  </si>
  <si>
    <t>Provide Federal award recipient compliance issues and concerns requiring follow-up actions to OMB-designated repository consistent with Uniform Guidance</t>
  </si>
  <si>
    <t>Capture Federal award recipient response to compliance issues and concerns consistent with Uniform Guidance</t>
  </si>
  <si>
    <t>Evaluate Federal award recipient response to compliance issues and concerns, and record results consistent with Uniform Guidance</t>
  </si>
  <si>
    <t>Provide evaluation results for Federal award recipient response to compliance issues and concerns consistent with Uniform Guidance</t>
  </si>
  <si>
    <t>Provide notification to Federal award recipient to submit improvement plan for compliance issues and concerns consistent with Uniform Guidance</t>
  </si>
  <si>
    <t>Capture Federal award recipient improvement plan to address award compliance issues and concerns consistent with Uniform Guidance</t>
  </si>
  <si>
    <t>Evaluate Federal award recipient improvement plan to address Federal award compliance issues and concerns, and record results consistent with Uniform Guidance</t>
  </si>
  <si>
    <t>Provide evaluation results for Federal award recipients' improvement plan to address Federal award compliance issues and concerns consistent with Uniform Guidance</t>
  </si>
  <si>
    <t>Provide Federal award recipients improvement plan to address Federal award compliance issues and concerns and evaluation results to OMB-designated repository consistent with Uniform Guidance</t>
  </si>
  <si>
    <t>Provide notification to Federal award recipient of approval/disapproval of improvement plan to address Federal award compliance issues and concerns consistent with Uniform Guidance</t>
  </si>
  <si>
    <t>Capture Federal award recipient improvement plan status information against compliance issues and concerns consistent with Uniform Guidance consistent with Uniform Guidance</t>
  </si>
  <si>
    <t>Evaluate Federal award recipient improvement plan status information against compliance issues and concerns and record results consistent with Uniform Guidance consistent with Uniform Guidance</t>
  </si>
  <si>
    <t>Provide evaluation results for Federal award recipient improvement plan status information against compliance issues and concerns consistent with Uniform Guidance</t>
  </si>
  <si>
    <t>Provide evaluation results for Federal award recipient improvement plan status information against compliance issues and concerns to OMB-designated repository consistent with Uniform Guidance</t>
  </si>
  <si>
    <r>
      <t>Retrieve Federal award recipient single audit findings and corrective actions status information from OMB-designated repository</t>
    </r>
    <r>
      <rPr>
        <b/>
        <sz val="11"/>
        <rFont val="Calibri"/>
        <family val="2"/>
        <scheme val="minor"/>
      </rPr>
      <t xml:space="preserve"> </t>
    </r>
    <r>
      <rPr>
        <sz val="11"/>
        <rFont val="Calibri"/>
        <family val="2"/>
        <scheme val="minor"/>
      </rPr>
      <t>related to compliance issues and concerns consistent with Uniform Guidance</t>
    </r>
  </si>
  <si>
    <t>Identify Federal award recipient compliance issues and concerns that have been resolved and document results consistent with Uniform Guidance</t>
  </si>
  <si>
    <t>Provide Federal award recipient compliance issues and concerns that have been resolved consistent with Uniform Guidance</t>
  </si>
  <si>
    <t>Provide notification of resolution of Federal award recipient compliance issues and concerns to Federal award recipient and appropriate parties consistent with Uniform Guidance</t>
  </si>
  <si>
    <t>Provide resolution of Federal award recipient compliance issues and concerns to OMB-designated repository consistent with Uniform Guidance</t>
  </si>
  <si>
    <t>Identify changes to Federal award agreement terms and conditions based on compliance reviews or resolution of compliance issues and concerns and document results consistent with Uniform Guidance</t>
  </si>
  <si>
    <t>Provide change information for Federal award agreement terms and conditions based on compliance reviews or resolution of compliance issues and concerns consistent with Uniform Guidance</t>
  </si>
  <si>
    <t>Determine Federal award recipient non-compliance and document results consistent with Uniform Guidance</t>
  </si>
  <si>
    <t>Provide Federal award recipient non-compliance determination results consistent with Uniform Guidance</t>
  </si>
  <si>
    <t>Determine remedies for Federal award recipient non-compliance (e.g., withhold payments, disallow use of funds, suspension / debarment) and document results consistent with Uniform Guidance</t>
  </si>
  <si>
    <t>Provide remedies for Federal award recipient non-compliance consistent with Uniform Guidance</t>
  </si>
  <si>
    <t>Provide notification to Federal award recipient of non-compliance remedies consistent with Uniform Guidance</t>
  </si>
  <si>
    <t>Determine Federal award full or partial termination information as specified by Uniform Guidance</t>
  </si>
  <si>
    <t>Provide notice of Federal award termination to award recipient consistent with Uniform Guidance</t>
  </si>
  <si>
    <t>Provide Federal award full or partial termination information to OMB-designated repository(ies) consistent with Uniform Guidance</t>
  </si>
  <si>
    <t>Determine suspension or debarment of Federal award recipient and document results as specified by Uniform Guidance</t>
  </si>
  <si>
    <t>Provide notification of suspension or debarment to Federal award recipient as specified by Uniform Guidance</t>
  </si>
  <si>
    <t>Provide Federal award recipient suspension or debarment information to OMB-designated repository(ies) as specified by Uniform Guidance</t>
  </si>
  <si>
    <t>Capture Federal award recipient information for challenging the suspension or termination action consistent with Uniform Guidance</t>
  </si>
  <si>
    <t>Evaluate Federal award recipient challenge to suspension or termination and record results consistent with Uniform Guidance</t>
  </si>
  <si>
    <t>Provide evaluation results for Federal award recipient challenge to suspension or termination consistent with Uniform Guidance</t>
  </si>
  <si>
    <t>Provide response to Federal award recipient concerning challenge to suspension or termination consistent with Uniform Guidance</t>
  </si>
  <si>
    <t>Capture consolidated compliance report containing subaward recipients' compliance review results consistent with Uniform Guidance</t>
  </si>
  <si>
    <t>Evaluate consolidated compliance report containing subaward recipients' compliance review results and record results consistent with Uniform Guidance</t>
  </si>
  <si>
    <t>Provide evaluation results for consolidated compliance report containing subaward recipients' compliance review results consistent with Uniform Guidance</t>
  </si>
  <si>
    <t>Review and update strategic, operations and reporting, and compliance Federal award and Federal award recipient risk evaluation criteria, as needed, and document results consistent with Uniform Guidance</t>
  </si>
  <si>
    <t>Provide updated Federal award and Federal award recipient risk evaluation criteria consistent with Uniform Guidance</t>
  </si>
  <si>
    <t>Retrieve risk evaluation information for Federal award recipient from OMB-designated repository consistent with Uniform Guidance</t>
  </si>
  <si>
    <t>Evaluate risk for Federal award recipient based on performance review information, financial review information, compliance review information, single audit findings and corrective actions information, and prior risk evaluation information and record results consistent with Uniform Guidance</t>
  </si>
  <si>
    <t>Provide results for risk evaluation for Federal award recipient consistent with Uniform Guidance</t>
  </si>
  <si>
    <t>Provide criteria and results for risk evaluation for Federal award recipient to OMB-designated repository consistent with Uniform Guidance</t>
  </si>
  <si>
    <t>Determine the Federal awards where the period of performance is ending and document results consistent with Uniform Guidance</t>
  </si>
  <si>
    <t>Provide the Federal awards where the period of performance is ending consistent with Uniform Guidance</t>
  </si>
  <si>
    <t>Provide notification of closeout to Federal award recipients consistent with Uniform Guidance</t>
  </si>
  <si>
    <t>Capture Federal award recipient request for grant closeout extension consistent with Uniform Guidance</t>
  </si>
  <si>
    <t>Evaluate Federal award recipient request for extension of time period to submit final reports and record results consistent with Uniform Guidance</t>
  </si>
  <si>
    <t>Provide evaluation results for Federal award recipient request for extension of time period to submit final reports consistent with Uniform Guidance</t>
  </si>
  <si>
    <t>Capture final financial, performance, and other reports required by the Federal award agreements consistent with Uniform Guidance</t>
  </si>
  <si>
    <t>Evaluate final financial, performance, and other reports required by the Federal award agreements and record results consistent with Uniform Guidance</t>
  </si>
  <si>
    <t>Retrieve Federal award recipient single audit information from OMB-designated repository consistent with Uniform Guidance</t>
  </si>
  <si>
    <t>Determine if there are Federal award recipient outstanding award actions (e.g., single audit findings, outstanding single audit, outstanding repayment) and document results consistent with Uniform Guidance</t>
  </si>
  <si>
    <t>Develop and document request to Federal award recipient for additional information concerning outstanding Federal award actions consistent with Uniform Guidance</t>
  </si>
  <si>
    <t>Provide request to Federal award recipient for additional information concerning outstanding Federal award actions consistent with Uniform Guidance</t>
  </si>
  <si>
    <t>Capture additional information from Federal award recipient concerning outstanding Federal award actions consistent with Uniform Guidance</t>
  </si>
  <si>
    <t>Evaluate additional information from Federal award recipient concerning outstanding Federal award actions and record results consistent with Uniform Guidance</t>
  </si>
  <si>
    <t>Provide evaluation results for additional information from Federal award recipient concerning outstanding Federal award actions consistent with Uniform Guidance</t>
  </si>
  <si>
    <t>Determine ownership of property assets and equipment acquired through Federal award funding and document results as specified by Uniform Guidance</t>
  </si>
  <si>
    <t>Provide determination on ownership of property assets and equipment acquired through Federal award funding as specified by Uniform Guidance</t>
  </si>
  <si>
    <t>Determine disposition of property assets and equipment acquired through Federal award funding and document results as specified by Uniform Guidance</t>
  </si>
  <si>
    <t>Provide disposition of property assets and equipment acquired through Federal award funding as specified by Uniform Guidance</t>
  </si>
  <si>
    <t>Determine ownership of intangible property resulting from Federal award research, experimentation, or development and document results as specified by Uniform Guidance</t>
  </si>
  <si>
    <t>Provide determination on ownership of intangible property resulting from Federal award as specified by Uniform Guidance</t>
  </si>
  <si>
    <t>Determine Federal award funds paid in advance and not authorized to retain and document results consistent with Uniform Guidance</t>
  </si>
  <si>
    <t>Provide determination of Federal award funds paid in advance and not authorized to retain consistent with Uniform Guidance</t>
  </si>
  <si>
    <t>Determine action to be taken to recover Federal award funds paid in advance and not authorized to retain and document results consistent with Uniform Guidance</t>
  </si>
  <si>
    <t>Provide action to be taken to recover Federal award funds paid in advance and not authorized to retain consistent with Uniform Guidance</t>
  </si>
  <si>
    <t>Provide notification to Federal award recipient on action to be taken to recover Federal award funds paid in advance and not authorized to retain and supporting information consistent with Uniform Guidance</t>
  </si>
  <si>
    <t>Develop and document request to determine if there are Federal award funds remaining consistent with Uniform Guidance</t>
  </si>
  <si>
    <t>Provide request to determine if there are Federal award funds remaining consistent with Uniform Guidance</t>
  </si>
  <si>
    <t>Develop and document notification to Federal award recipient that there are Federal award funds remaining and requesting response consistent with Uniform Guidance</t>
  </si>
  <si>
    <t>Provide notification to Federal award recipient that there are award funds remaining and requesting response consistent with Uniform Guidance</t>
  </si>
  <si>
    <t>Capture response from Federal award recipient concerning Federal award funds remaining consistent with Uniform Guidance</t>
  </si>
  <si>
    <t>Evaluate response from Federal award recipient concerning award funds remaining and record results consistent with Uniform Guidance</t>
  </si>
  <si>
    <t>Provide evaluation results concerning response from Federal award recipient concerning Federal award funds remaining consistent with Uniform Guidance</t>
  </si>
  <si>
    <t>Determine Federal award funds deobligation information and document results consistent with Uniform Guidance</t>
  </si>
  <si>
    <t>Provide Federal award funds deobligation information consistent with Uniform Guidance</t>
  </si>
  <si>
    <t>Verify all Federal award closeout actions are completed and document results consistent with Uniform Guidance</t>
  </si>
  <si>
    <t>Provide results for verification that Federal award closeout actions are completed consistent with Uniform Guidance</t>
  </si>
  <si>
    <t>Develop and document request to closeout ability to post additional financial transactions for the Federal award consistent with Uniform Guidance</t>
  </si>
  <si>
    <t>Provide request to closeout ability to post additional financial transactions for the Federal award consistent with Uniform Guidance</t>
  </si>
  <si>
    <t xml:space="preserve">Provide Federal award closeout information to OMB-designated repository(ies) consistent with Uniform Guidance </t>
  </si>
  <si>
    <t>Develop final Federal award records for record retention and document results as specified by Uniform Guidance</t>
  </si>
  <si>
    <t>Provide final Federal award records for record retention as specified by Uniform Guidance</t>
  </si>
  <si>
    <t>Develop and document program closed-out and expired Federal awards information for agency Expired Federal Grant Award Report consistent with PL 114-117</t>
  </si>
  <si>
    <t>Provide program closed-out and expired Federal awards information for agency Expired Federal Grant Award Report consistent with PL 114-117</t>
  </si>
  <si>
    <t>Develop program lessons learned and promising practices based on analysis of Federal awards performance and document results consistent with Uniform Guidance</t>
  </si>
  <si>
    <t xml:space="preserve">Determine if all Federal awards for grant program have been closed out </t>
  </si>
  <si>
    <t xml:space="preserve">Provide results from determination that all Federal awards of grant program have been closed out </t>
  </si>
  <si>
    <t>Retrieve Federal award recipients' significant single audit findings and other single audit-related information for program period of performance from OMB-designated repository</t>
  </si>
  <si>
    <t>Identify final program lessons learned based on analysis of Federal awards trends and patterns information and document results</t>
  </si>
  <si>
    <t>Determine receipt of grant recipient cost allocation plan, indirect (F&amp;A) cost rates proposal, or cost accounting practices, and document results consistent with Uniform Guidance</t>
  </si>
  <si>
    <t>Provide results concerning receipt of grant recipient cost allocation plan, indirect (F&amp;A) cost rates proposal, or cost accounting practices consistent with Uniform Guidance</t>
  </si>
  <si>
    <t>Evaluate grant recipient submission of indirect (F&amp;A) cost rates proposal, cost allocation plan, and cost accounting practices and record results consistent with Uniform Guidance</t>
  </si>
  <si>
    <t>Provide evaluation results for grant recipient submission of indirect (F&amp;A) cost rates proposal, cost allocation plan, and cost accounting practices consistent with Uniform Guidance</t>
  </si>
  <si>
    <t>Provide grant recipient provisional or final indirect (F&amp;A) cost rates information to appropriate parties and OMB-designated repository consistent with Uniform Guidance</t>
  </si>
  <si>
    <t>Determine Federal awarding agency single audit accountable official information and document results consistent with Uniform Guidance</t>
  </si>
  <si>
    <t>Provide Federal awarding agency single audit accountable official information consistent with Uniform Guidance</t>
  </si>
  <si>
    <t>Develop or update Grant Program Risk Management Plan, including strategic, operations and reporting, and compliance risk evaluation criteria, and document results</t>
  </si>
  <si>
    <t>Develop applicant strategic, operations and reporting, and compliance risk evaluation criteria and document results consistent with Uniform Guidance</t>
  </si>
  <si>
    <t>Develop and document request to cognizant or oversight agency for audit for additional information concerning single audit findings and/or corrective action status consistent with Uniform Guidance</t>
  </si>
  <si>
    <t>Provide request to cognizant or oversight agency for audit for additional information concerning single audit findings and/or corrective action status consistent with Uniform Guidance</t>
  </si>
  <si>
    <t>Capture additional information concerning single audit findings and/or corrective action status from cognizant or oversight agency for audit consistent with Uniform Guidance</t>
  </si>
  <si>
    <t>Evaluate additional information concerning single audit findings and/or corrective action status from cognizant or oversight agency for audit and record results consistent with Uniform Guidance</t>
  </si>
  <si>
    <t>Provide evaluation results concerning additional information on single audit findings and/or corrective action status from cognizant or oversight agency for audit consistent with Uniform Guidance</t>
  </si>
  <si>
    <t>Provide evaluation results for exception to permit excluded person to participate in a covered transaction to OMB-designated repository(ies) as specified by Uniform Guidance</t>
  </si>
  <si>
    <t>Provide unsuccessful applicant information to OMB-designated repository(ies) as specified by Uniform Guidance</t>
  </si>
  <si>
    <t>Provide award recipient outstanding Federal award actions (e.g., single audit findings, outstanding single audit, outstanding repayment) consistent with Uniform Guidance</t>
  </si>
  <si>
    <t>Provide program performance and financial results information to OMB-designated repository(ies) consistent with Uniform Guidance</t>
  </si>
  <si>
    <t>Evaluate variance between past program liability estimates and the program's actual operating cost and document results consistent with Federal Financial Accounting Technical Release 12</t>
  </si>
  <si>
    <t xml:space="preserve">Provide grant program closeout information to OMB-designated repository(ies) </t>
  </si>
  <si>
    <t>Develop and document a cost allocation plan or indirect (F&amp;A) cost rates information for grants recipients who fail to submit cost allocation plan or indirect (F&amp;A) cost rates proposal and document results consistent with Uniform Guidance</t>
  </si>
  <si>
    <t>Retrieve grant recipient risk evaluation information related to indirect costs from OMB-designated repository consistent with Uniform Guidance</t>
  </si>
  <si>
    <t>Provide new grant recipient's cognizant or oversight agency for audit information to appropriate parties and OMB-designated repository as specified by Uniform Guidance</t>
  </si>
  <si>
    <t>Provide grant recipient's cognizant or oversight agency for audit reassignment information to appropriate parties and OMB-designated repository consistent with Uniform Guidance</t>
  </si>
  <si>
    <t>Determine key management single audit liaison(s) to serve as Federal awarding agency point of contact for single audits and document results as specified by Uniform Guidance</t>
  </si>
  <si>
    <t>Provide key management single audit liaison(s) to serve as Federal awarding agency point of contact for single audits information to OMB-designated repository consistent with Uniform Guidance</t>
  </si>
  <si>
    <t>Capture request information to reassign key management single audit liaison(s) to serve as Federal awarding agency point of contact for single audits consistent with Uniform Guidance</t>
  </si>
  <si>
    <t>Evaluate request information to reassign key management single audit liaison(s) to serve as Federal awarding agency point of contact for single audits and record results consistent with Uniform Guidance</t>
  </si>
  <si>
    <t>Provide evaluations results concerning request information to reassign key management single audit liaison(s) to serve as Federal awarding agency point of contact for single audits consistent with Uniform Guidance</t>
  </si>
  <si>
    <t>Provide reassignment information for key management single audit liaison(s) to serve as Federal awarding agency point of contact to OMB-designated repository consistent with Uniform Guidance</t>
  </si>
  <si>
    <t>Retrieve grant recipient's total expenditures for all Federal awards for recipient's fiscal year from OMB-designated repository consistent with Uniform Guidance</t>
  </si>
  <si>
    <t>Determine grant recipient(s) permitted to undergo single audits biennially and document results as specified by Uniform Guidance</t>
  </si>
  <si>
    <t>Provide grant recipient(s) permitted to undergo single audits biennially as specified by Uniform Guidance</t>
  </si>
  <si>
    <t xml:space="preserve">Provide evaluation results concerning grant recipient estimated costs for single audit of a Federal program as a major program as specified by Uniform Guidance </t>
  </si>
  <si>
    <t>Capture grant recipient or auditor request for single audit technical advice or liaison assistance consistent with Uniform Guidance</t>
  </si>
  <si>
    <t>Develop response to grant recipient or auditor request for single audit technical advice or liaison assistance and document results consistent with Uniform Guidance</t>
  </si>
  <si>
    <t>Provide response to grant recipient or auditor request for single audit technical advice or liaison assistance consistent with Uniform Guidance</t>
  </si>
  <si>
    <t>Capture grant recipient single audit report information, including current single audit findings, risk assessment, corrective action plan, summary schedule of prior single audit findings, and other information as specified by Uniform Guidance</t>
  </si>
  <si>
    <t>Provide single audit package information consistent with Uniform Guidance</t>
  </si>
  <si>
    <t>Provide grant recipient with notification of single audit package information completeness consistent with Uniform Guidance</t>
  </si>
  <si>
    <t>Provide grant recipient with issues concerning single audit package information completeness and policy compliance consistent with Uniform Guidance</t>
  </si>
  <si>
    <t>Capture revised single audit package information correcting completeness and policy compliance issues consistent with Uniform Guidance</t>
  </si>
  <si>
    <t>Capture grant recipient certification information for single audit package submission as specified by Uniform Guidance</t>
  </si>
  <si>
    <t>Capture auditor certification information for single audit package submission as specified by Uniform Guidance</t>
  </si>
  <si>
    <t>Provide grant recipient single audit package submission with verified certification information consistent with Uniform Guidance</t>
  </si>
  <si>
    <t>Provide evaluation results for grant recipient single audit package information and corrective action plan consistent with Uniform Guidance</t>
  </si>
  <si>
    <t>Provide evaluation results for grant recipient single audit package information and corrective action plan to OMB-designated repository consistent with Uniform Guidance</t>
  </si>
  <si>
    <t>Capture single audit finding(s) with a closed status from summary schedule of prior single audit findings in single audit package information consistent with Uniform Guidance</t>
  </si>
  <si>
    <t>Evaluate closed status information for single audit finding(s) from summary schedule of prior single audit findings and record results consistent with Uniform Guidance</t>
  </si>
  <si>
    <t>Provide closed single audit finding(s) status information from summary schedule of prior single audit findings consistent with Uniform Guidance</t>
  </si>
  <si>
    <t>Provide issues with closed status for single audit finding(s) from summary schedule of prior single audit findings consistent with Uniform Guidance</t>
  </si>
  <si>
    <t>Match single audit finding(s) with closed status from summary schedule of prior single audit findings with existing single audit finding(s) in OMB-designated repository, close single audit finding(s), and document results consistent with Uniform Guidance</t>
  </si>
  <si>
    <t>Provide closed single audit finding(s) information based on summary schedule of prior single audit findings to appropriate parties and OMB-designated repository consistent with Uniform Guidance</t>
  </si>
  <si>
    <t>Develop recommendations for grant recipient concerning corrective action plan or other single audit package information, develop notification, and document results consistent with Uniform Guidance</t>
  </si>
  <si>
    <t>Provide recommendation(s) for grant recipient concerning corrective action plan or other single audit package information consistent with Uniform Guidance</t>
  </si>
  <si>
    <t>Provide notification to grant recipient concerning corrective action plan or other single audit package information recommendations consistent with Uniform Guidance</t>
  </si>
  <si>
    <t>Capture grant recipient updated single audit package information consistent with Uniform Guidance</t>
  </si>
  <si>
    <t>Evaluate grant recipient updated single audit package information and record results as specified by Uniform Guidance consistent with Uniform Guidance</t>
  </si>
  <si>
    <t>Provide evaluation results for grant recipient updated single audit package information consistent with Uniform Guidance</t>
  </si>
  <si>
    <t>Determine, assign, and document appropriate parties for follow up on single audit finding(s) consistent with Uniform Guidance</t>
  </si>
  <si>
    <t>Provide appropriate parties assigned for follow up on single audit finding(s) consistent with Uniform Guidance</t>
  </si>
  <si>
    <t>Provide notification to appropriate parties of single audit finding(s) assigned for follow up consistent with Uniform Guidance</t>
  </si>
  <si>
    <t>Capture request to reassign a single audit finding to another appropriate party consistent with Uniform Guidance</t>
  </si>
  <si>
    <t>Evaluate request to reassign a single audit finding to another appropriate party and record results consistent with Uniform Guidance</t>
  </si>
  <si>
    <t>Provide evaluation results concerning reassignment of a single audit finding to another appropriate party consistent with Uniform Guidance</t>
  </si>
  <si>
    <t>Provide notification or reassignment of single audit finding for follow up to appropriate parties consistent with Uniform Guidance</t>
  </si>
  <si>
    <t>Develop request for additional information from grant recipient concerning single audit information (e.g., single audit findings, questioned costs, corrective actions) and document results consistent with Uniform Guidance</t>
  </si>
  <si>
    <t>Provide request for additional information from grant recipient concerning single audit information as specified by Uniform Guidance</t>
  </si>
  <si>
    <t>Capture additional information from grant recipient concerning single audit information as specified by Uniform Guidance</t>
  </si>
  <si>
    <t>Evaluate additional information from grant recipient concerning single audit information and record results as specified by Uniform Guidance</t>
  </si>
  <si>
    <t>Provide evaluation results of additional information from grant recipient concerning single audit information as specified by Uniform Guidance</t>
  </si>
  <si>
    <t>Identify and document technical guidance related to single audit findings and corrective actions and document results consistent with Uniform Guidance</t>
  </si>
  <si>
    <t>Provide technical guidance related to single audit findings and corrective actions consistent with Uniform Guidance</t>
  </si>
  <si>
    <t>Provide notification to grant recipient with technical guidance related to single audit findings and corrective actions consistent with Uniform Guidance</t>
  </si>
  <si>
    <t>Provide notification of additional information receipt from grant recipient concerning single audit information and evaluation results to appropriate parties consistent with Uniform Guidance</t>
  </si>
  <si>
    <t>Determine allowance or disallowance of questioned costs from single audit finding(s), calculate any amount owed, and document results consistent with Uniform Guidance</t>
  </si>
  <si>
    <t>Provide allowance or disallowance of questioned costs from single audit finding(s) and amount owed consistent with Uniform Guidance</t>
  </si>
  <si>
    <t>Determine course of action for recovering the payment of disallowed costs and document results consistent with Uniform Guidance</t>
  </si>
  <si>
    <t>Provide course of action for recovering the payment of disallowed costs consistent with Uniform Guidance</t>
  </si>
  <si>
    <t>Provide notification to grant recipient of disallowed costs and course of action for recovering the payment of disallowed costs consistent with Uniform Guidance</t>
  </si>
  <si>
    <t>Capture grant recipient response that there will be a delay in providing additional information concerning single audit or information is unavailable consistent with Uniform Guidance</t>
  </si>
  <si>
    <t>Evaluate grant recipient response that there will be a delay in providing additional information concerning single audit or information is unavailable and record results consistent with Uniform Guidance</t>
  </si>
  <si>
    <t>Provide evaluation results concerning grant recipient response that there will be a delay in providing additional information concerning single audit or information is unavailable consistent with Uniform Guidance</t>
  </si>
  <si>
    <t>Identify that grant recipient has not responded to request for additional information concerning single audit and document results consistent with Uniform Guidance</t>
  </si>
  <si>
    <t>Provide grant recipient lack of response information to request for additional information concerning single audit consistent with Uniform Guidance</t>
  </si>
  <si>
    <t>Determine course of action for grant recipient lack of response to request for additional information concerning single audit and document results consistent with Uniform Guidance</t>
  </si>
  <si>
    <t>Provide course of action information for grant recipient lack of response to request for additional information concerning single audit consistent with Uniform Guidance</t>
  </si>
  <si>
    <t xml:space="preserve">Identify and document cross-cutting single audit finding(s) consistent with Uniform Guidance </t>
  </si>
  <si>
    <t xml:space="preserve">Provide cross-cutting single audit finding(s) consistent with Uniform Guidance </t>
  </si>
  <si>
    <t>Determine and document Federal awarding agencies affected by the cross-cutting single audit finding(s) consistent with Uniform Guidance</t>
  </si>
  <si>
    <t>Provide Federal awarding agencies affected by the cross-cutting single audit finding(s) consistent with Uniform Guidance</t>
  </si>
  <si>
    <t>Develop notification from cognizant agency for audit to key management single audit liaisons at agencies affected by cross-cutting single audit finding(s) and document results consistent with Uniform Guidance</t>
  </si>
  <si>
    <t>Provide notification from cognizant agency for audit to key management single audit liaison at agencies affected by cross-cutting single audit finding(s) consistent with Uniform Guidance</t>
  </si>
  <si>
    <t>Evaluate cross-cutting single audit finding(s) and corrective action plan and record results consistent with Uniform Guidance</t>
  </si>
  <si>
    <t>Provide evaluation results concerning cross-cutting single audit finding(s) and corrective action plan consistent with Uniform Guidance</t>
  </si>
  <si>
    <t>Provide evaluation results concerning cross-cutting single audit finding(s) and corrective action plan to OMB-designated repository consistent with Uniform Guidance</t>
  </si>
  <si>
    <t xml:space="preserve">Develop and document request information from key management single audit liaison(s) to the cognizant agency for audit to provide agency input to the management decision letter (MDL) for cross-cutting single audit finding(s) consistent with Uniform Guidance </t>
  </si>
  <si>
    <t>Provide request from key management single audit liaison(s) to the cognizant agency for audit to provide agency input to the management decision letter (MDL) for cross-cutting single audit finding(s) consistent with Uniform Guidance</t>
  </si>
  <si>
    <t>Evaluate request from key management single audit liaison(s) to provide agency input to the Management Decision Letter (MDL) for cross-cutting single audit finding(s), identify guidance for MDL input, and record results consistent with Uniform Guidance</t>
  </si>
  <si>
    <t>Provide agency with guidance for Management Decision Letter (MDL) input for cross-cutting single audit finding(s) consistent with Uniform Guidance</t>
  </si>
  <si>
    <t>Develop agency input to Management Decision Letter (MDL) for cross-cutting single audit finding(s) and document results consistent with Uniform Guidance</t>
  </si>
  <si>
    <t>Provide agency input to Management Decision Letter (MDL) for cross-cutting single audit finding(s) consistent with Uniform Guidance</t>
  </si>
  <si>
    <t>Evaluate agency Management Decision Letter (MDL) input for cross-cutting single audit finding(s), and record results consistent with Uniform Guidance</t>
  </si>
  <si>
    <t>Provide evaluation results concerning agency Management Decision Letter (MDL) input for cross-cutting single audit finding(s) consistent with Uniform Guidance</t>
  </si>
  <si>
    <t>Provide Management Decision Letter (MDL) to OMB-designated repository consistent with Uniform Guidance</t>
  </si>
  <si>
    <t>Capture grant recipient prior single audits or reviews that have been conducted as specified by Uniform Guidance</t>
  </si>
  <si>
    <t>Evaluate scope and extent of grant recipient prior single audits or reviews that have been conducted to determine if an additional grant recipient single audit needs to be conducted and record results as specified by Uniform Guidance</t>
  </si>
  <si>
    <t>Provide evaluation results for determination of need for an additional grant recipient single audit to be conducted as specified by Uniform Guidance</t>
  </si>
  <si>
    <t>Provide notification to grant recipient of additional single audit to be conducted as specified by Uniform Guidance</t>
  </si>
  <si>
    <t xml:space="preserve">Capture grant recipient estimated costs information for additional single audit to be conducted as specified by Uniform Guidance </t>
  </si>
  <si>
    <t xml:space="preserve">Evaluate grant recipient estimated costs information for additional single audit to be conducted and record results as specified by Uniform Guidance </t>
  </si>
  <si>
    <t xml:space="preserve">Provide evaluation results concerning grant recipient estimated costs information for additional single audit to be conducted as specified by Uniform Guidance </t>
  </si>
  <si>
    <t>Capture grant recipient corrective action(s) status information for single audit finding(s) as specified by Uniform Guidance</t>
  </si>
  <si>
    <t>Evaluate status information for grant recipient corrective action(s) for single audit finding(s) and record results consistent with Uniform Guidance</t>
  </si>
  <si>
    <t>Provide evaluation results for status information of grant recipient corrective action(s) for single audit finding(s) consistent with Uniform Guidance</t>
  </si>
  <si>
    <t>Provide evaluation results for status information of grant recipient corrective action(s) for single audit finding(s) to OMB-designated repository consistent with Uniform Guidance</t>
  </si>
  <si>
    <t>Identify and close single audit finding(s) with completed corrective action(s) and document results consistent with Uniform Guidance</t>
  </si>
  <si>
    <t>Provide closed single audit finding(s) information with completed corrective action(s) to appropriate parties and OMB-designated repository consistent with Uniform Guidance</t>
  </si>
  <si>
    <t>Identify grant recipient past due corrective action(s) for single audit finding(s) and document results consistent with Uniform Guidance</t>
  </si>
  <si>
    <t>Provide past due corrective action(s) for single audit finding(s) information consistent with Uniform Guidance</t>
  </si>
  <si>
    <t xml:space="preserve">Develop and document request to grant recipient for justification and revised timeline for past due corrective action(s) for single audit finding(s) consistent with Uniform Guidance </t>
  </si>
  <si>
    <t xml:space="preserve">Provide request to grant recipient for justification and revised timeline for past due corrective action(s) for single audit finding(s) consistent with Uniform Guidance </t>
  </si>
  <si>
    <t>Capture grant recipient revised timeline and justification information for past due corrective action(s) for single audit finding(s) consistent with Uniform Guidance</t>
  </si>
  <si>
    <t>Evaluate grant recipient justification and revised timeline information for past due corrective action(s) for single audit finding(s) and record results consistent with Uniform Guidance</t>
  </si>
  <si>
    <t>Provide evaluation results concerning grant recipient justification and revised timeline information for past due corrective action(s) for single audit finding(s) consistent with Uniform Guidance</t>
  </si>
  <si>
    <t>Provide approval to grant recipient concerning revised timeline information for past due corrective action(s) for single audit finding(s) consistent with Uniform Guidance</t>
  </si>
  <si>
    <t>Develop and document recommendations for grant recipient concerning revised timeline for past due corrective action(s) for single audit finding(s) consistent with Uniform Guidance</t>
  </si>
  <si>
    <t>Provide recommendations to grant recipient concerning revised timeline for past due corrective action(s) for single audit finding(s) consistent with Uniform Guidance</t>
  </si>
  <si>
    <t>Capture grant recipient updated timeline information for past due corrective action(s) for single audit finding(s) based on recommendations consistent with Uniform Guidance</t>
  </si>
  <si>
    <t>Evaluate grant recipient updated timeline information for past due corrective action(s) for single audit finding(s) based on recommendations and record results consistent with Uniform Guidance</t>
  </si>
  <si>
    <t>Provide evaluation results concerning grant recipient updated timeline for past due corrective action(s) for single audit finding(s) based on recommendations consistent with Uniform Guidance</t>
  </si>
  <si>
    <t>Determine that grant recipient has not responded to request for justification and revised timeline for past due corrective action(s) for single audit finding(s) and document results consistent with Uniform Guidance</t>
  </si>
  <si>
    <t>Provide grant recipient lack of response information to request for justification and revised timeline for past due corrective action(s) for single audit finding(s) consistent with Uniform Guidance</t>
  </si>
  <si>
    <t>Determine course of action for grant recipient lack of response to request for justification and revised timeline for past due corrective action(s) for single audit finding(s) and document results consistent with Uniform Guidance</t>
  </si>
  <si>
    <t>Provide course of action information for grant recipient lack of response to request for justification and revised timeline for past due corrective action(s) for single audit finding(s) consistent with Uniform Guidance</t>
  </si>
  <si>
    <t>Determine grant recipient single audits to be included in quality control reviews and document results consistent with Uniform Guidance</t>
  </si>
  <si>
    <t>Provide grant recipients' single audits to be included in quality control reviews consistent with Uniform Guidance</t>
  </si>
  <si>
    <t>Conduct quality control reviews of selected grant recipients' single audit information and document results consistent with Uniform Guidance</t>
  </si>
  <si>
    <t>Provide results of quality control reviews of selected grant recipients' single audit information consistent with Uniform Guidance</t>
  </si>
  <si>
    <t>Capture single audit deficiencies requiring corrective actions by auditor as specified by Uniform Guidance</t>
  </si>
  <si>
    <t>Develop and document notification to auditor and grant recipient, if needed, of single audit deficiencies requiring corrective actions by auditor as specified by Uniform Guidance</t>
  </si>
  <si>
    <t xml:space="preserve">Provide notification to auditor and grant recipient, if needed, of single audit deficiencies requiring corrective actions by auditor as specified by Uniform Guidance </t>
  </si>
  <si>
    <t xml:space="preserve">Capture status information concerning single audit deficiencies requiring corrective actions by auditor consistent with Uniform Guidance </t>
  </si>
  <si>
    <t xml:space="preserve">Evaluate status information concerning single audit deficiencies requiring corrective actions by auditor and record results consistent with Uniform Guidance </t>
  </si>
  <si>
    <t xml:space="preserve">Provide evaluation results of status information concerning single audit deficiencies requiring corrective actions by auditor consistent with Uniform Guidance </t>
  </si>
  <si>
    <t>Develop notification concerning auditor failure to take corrective actions to address single audit deficiencies and document results consistent with Uniform Guidance</t>
  </si>
  <si>
    <t>Provide notification concerning auditor failure to take corrective actions to address single audit deficiencies consistent with Uniform Guidance</t>
  </si>
  <si>
    <t>Capture single audit findings related to improper payments, fraud, waste, abuse or resulting in government sanctions consistent with Uniform Guidance</t>
  </si>
  <si>
    <t>Evaluate single audit findings related to improper payments, fraud, waste, abuse or resulting in government sanctions and record results consistent with Uniform Guidance</t>
  </si>
  <si>
    <t>Provide evaluation results for single audit findings related to improper payments, fraud, waste, abuse or resulting in government sanctions consistent with Uniform Guidance</t>
  </si>
  <si>
    <t>Determine noteworthy or important single audit trends, significant problems, or quality issues, and document results as specified by Uniform Guidance</t>
  </si>
  <si>
    <t>Provide noteworthy or important single audit trends, significant problems, or quality issues as specified by Uniform Guidance</t>
  </si>
  <si>
    <t xml:space="preserve">Evaluate single audit execution to identify the most cost-effective single audit processes and record results consistent with Uniform Guidance </t>
  </si>
  <si>
    <t>Provide evaluation results of single audit execution to identify the most cost-effective single audit processes consistent with Uniform Guidance</t>
  </si>
  <si>
    <t>GRM.030.010.067</t>
  </si>
  <si>
    <t>GRM.030.010.071</t>
  </si>
  <si>
    <t>GRM.030.010.072</t>
  </si>
  <si>
    <t>GRM.030.010.092</t>
  </si>
  <si>
    <t>GRM.030.010.093</t>
  </si>
  <si>
    <t>GRM.030.020.021</t>
  </si>
  <si>
    <t>GRM.030.020.022</t>
  </si>
  <si>
    <t>GRM.030.020.111</t>
  </si>
  <si>
    <t>GRM.030.020.112</t>
  </si>
  <si>
    <t>GRM.030.020.121</t>
  </si>
  <si>
    <t>GRM.030.020.122</t>
  </si>
  <si>
    <t>GRM.030.020.123</t>
  </si>
  <si>
    <t>GRM.030.020.131</t>
  </si>
  <si>
    <t>GRM.030.020.132</t>
  </si>
  <si>
    <t>GRM.040.030.041</t>
  </si>
  <si>
    <t>GRM.040.030.042</t>
  </si>
  <si>
    <t>GRM.040.030.043</t>
  </si>
  <si>
    <t>GRM.040.040.012</t>
  </si>
  <si>
    <t>GRM.040.050.011</t>
  </si>
  <si>
    <t>GRM.040.050.012</t>
  </si>
  <si>
    <t>GRM.040.050.021</t>
  </si>
  <si>
    <t>GRM.040.050.022</t>
  </si>
  <si>
    <t>GRM.040.050.023</t>
  </si>
  <si>
    <t>GRM.040.050.024</t>
  </si>
  <si>
    <t>GRM.060.010.023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</si>
</sst>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0.0"/>
  </numFmts>
  <fonts count="37" x14ac:knownFonts="1">
    <font>
      <sz val="11"/>
      <color theme="1"/>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b/>
      <sz val="14"/>
      <color theme="0"/>
      <name val="Calibri"/>
      <family val="2"/>
      <scheme val="minor"/>
    </font>
    <font>
      <sz val="11"/>
      <color theme="1"/>
      <name val="Calibri"/>
      <family val="2"/>
    </font>
    <font>
      <sz val="11"/>
      <color theme="1"/>
      <name val="Calibri"/>
      <family val="2"/>
      <scheme val="minor"/>
    </font>
    <font>
      <sz val="11"/>
      <name val="Calibri"/>
      <family val="2"/>
      <scheme val="minor"/>
    </font>
    <font>
      <sz val="11"/>
      <color rgb="FF9C0006"/>
      <name val="Calibri"/>
      <family val="2"/>
      <scheme val="minor"/>
    </font>
    <font>
      <u/>
      <sz val="11"/>
      <color theme="10"/>
      <name val="Calibri"/>
      <family val="2"/>
      <scheme val="minor"/>
    </font>
    <font>
      <sz val="10"/>
      <name val="Arial"/>
      <family val="2"/>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sz val="12"/>
      <color rgb="FF000000"/>
      <name val="Arial"/>
      <family val="2"/>
    </font>
    <font>
      <sz val="28"/>
      <color theme="1"/>
      <name val="Calibri"/>
      <family val="2"/>
      <scheme val="minor"/>
    </font>
    <font>
      <b/>
      <u/>
      <sz val="11"/>
      <color theme="1"/>
      <name val="Calibri"/>
      <family val="2"/>
      <scheme val="minor"/>
    </font>
    <font>
      <sz val="8"/>
      <name val="Calibri"/>
      <family val="2"/>
      <scheme val="minor"/>
    </font>
    <font>
      <b/>
      <sz val="11"/>
      <name val="Calibri"/>
      <family val="2"/>
      <scheme val="minor"/>
    </font>
    <font>
      <b/>
      <sz val="11"/>
      <color rgb="FF000000"/>
      <name val="Calibri"/>
      <family val="2"/>
      <scheme val="minor"/>
    </font>
    <font>
      <sz val="11"/>
      <color rgb="FF000000"/>
      <name val="Calibri"/>
      <family val="2"/>
      <scheme val="minor"/>
    </font>
    <font>
      <b/>
      <sz val="11"/>
      <color rgb="FF000000"/>
      <name val="Calibri"/>
      <family val="2"/>
    </font>
    <font>
      <b/>
      <i/>
      <sz val="11"/>
      <color rgb="FF000000"/>
      <name val="Calibri"/>
      <family val="2"/>
    </font>
    <font>
      <sz val="11"/>
      <color rgb="FF000000"/>
      <name val="Symbol"/>
      <family val="1"/>
      <charset val="2"/>
    </font>
    <font>
      <sz val="11"/>
      <color rgb="FF000000"/>
      <name val="Courier New"/>
      <family val="3"/>
    </font>
    <font>
      <sz val="11"/>
      <color rgb="FF000000"/>
      <name val="Calibri"/>
      <family val="2"/>
    </font>
    <font>
      <i/>
      <u/>
      <sz val="11"/>
      <color rgb="FF000000"/>
      <name val="Calibri"/>
      <family val="2"/>
    </font>
    <font>
      <sz val="7"/>
      <color rgb="FF000000"/>
      <name val="Calibri"/>
      <family val="2"/>
    </font>
    <font>
      <i/>
      <sz val="11"/>
      <color rgb="FF000000"/>
      <name val="Calibri"/>
      <family val="2"/>
    </font>
  </fonts>
  <fills count="21">
    <fill>
      <patternFill patternType="none"/>
    </fill>
    <fill>
      <patternFill patternType="gray125"/>
    </fill>
    <fill>
      <patternFill patternType="solid">
        <fgColor theme="4" tint="0.79998168889431442"/>
        <bgColor indexed="64"/>
      </patternFill>
    </fill>
    <fill>
      <patternFill patternType="solid">
        <fgColor rgb="FF0070C0"/>
        <bgColor indexed="64"/>
      </patternFill>
    </fill>
    <fill>
      <patternFill patternType="solid">
        <fgColor theme="4" tint="0.39997558519241921"/>
        <bgColor indexed="64"/>
      </patternFill>
    </fill>
    <fill>
      <patternFill patternType="solid">
        <fgColor rgb="FF002060"/>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theme="4"/>
        <bgColor indexed="64"/>
      </patternFill>
    </fill>
    <fill>
      <patternFill patternType="solid">
        <fgColor indexed="31"/>
      </patternFill>
    </fill>
    <fill>
      <patternFill patternType="solid">
        <fgColor indexed="26"/>
      </patternFill>
    </fill>
    <fill>
      <patternFill patternType="solid">
        <fgColor indexed="43"/>
      </patternFill>
    </fill>
    <fill>
      <patternFill patternType="solid">
        <fgColor theme="8" tint="0.79998168889431442"/>
        <bgColor theme="8" tint="0.79998168889431442"/>
      </patternFill>
    </fill>
    <fill>
      <patternFill patternType="solid">
        <fgColor theme="6"/>
        <bgColor theme="6"/>
      </patternFill>
    </fill>
    <fill>
      <patternFill patternType="solid">
        <fgColor rgb="FFE7E6E6"/>
        <bgColor rgb="FF000000"/>
      </patternFill>
    </fill>
  </fills>
  <borders count="24">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style="thin">
        <color indexed="64"/>
      </right>
      <top style="thin">
        <color indexed="64"/>
      </top>
      <bottom style="thick">
        <color indexed="64"/>
      </bottom>
      <diagonal/>
    </border>
    <border>
      <left/>
      <right style="thin">
        <color auto="1"/>
      </right>
      <top/>
      <bottom style="thin">
        <color auto="1"/>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58">
    <xf numFmtId="0" fontId="0" fillId="0" borderId="0"/>
    <xf numFmtId="0" fontId="11" fillId="0" borderId="0"/>
    <xf numFmtId="0" fontId="6" fillId="0" borderId="0"/>
    <xf numFmtId="0" fontId="6" fillId="0" borderId="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3" fillId="10" borderId="0" applyNumberFormat="0" applyBorder="0" applyAlignment="0" applyProtection="0"/>
    <xf numFmtId="0" fontId="8"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5" fillId="9" borderId="0" applyNumberFormat="0" applyBorder="0" applyAlignment="0" applyProtection="0"/>
    <xf numFmtId="0" fontId="16" fillId="0" borderId="0" applyNumberFormat="0" applyFill="0" applyBorder="0" applyAlignment="0" applyProtection="0"/>
    <xf numFmtId="0" fontId="17" fillId="12" borderId="8" applyNumberFormat="0" applyAlignment="0" applyProtection="0"/>
    <xf numFmtId="0" fontId="17" fillId="12" borderId="8" applyNumberFormat="0" applyAlignment="0" applyProtection="0"/>
    <xf numFmtId="0" fontId="18" fillId="11" borderId="0" applyNumberFormat="0" applyBorder="0" applyAlignment="0" applyProtection="0"/>
    <xf numFmtId="0" fontId="18" fillId="11" borderId="0" applyNumberFormat="0" applyBorder="0" applyAlignment="0" applyProtection="0"/>
    <xf numFmtId="0" fontId="18" fillId="16" borderId="0" applyNumberFormat="0" applyBorder="0" applyAlignment="0" applyProtection="0"/>
    <xf numFmtId="0" fontId="12" fillId="11" borderId="0" applyNumberFormat="0" applyBorder="0" applyAlignment="0" applyProtection="0"/>
    <xf numFmtId="0" fontId="18" fillId="16" borderId="0" applyNumberFormat="0" applyBorder="0" applyAlignment="0" applyProtection="0"/>
    <xf numFmtId="0" fontId="11" fillId="0" borderId="0"/>
    <xf numFmtId="0" fontId="19" fillId="0" borderId="0"/>
    <xf numFmtId="0" fontId="10" fillId="0" borderId="0"/>
    <xf numFmtId="0" fontId="20" fillId="0" borderId="0"/>
    <xf numFmtId="0" fontId="19" fillId="0" borderId="0"/>
    <xf numFmtId="0" fontId="11" fillId="0" borderId="0"/>
    <xf numFmtId="0" fontId="6" fillId="0" borderId="0"/>
    <xf numFmtId="0" fontId="6" fillId="0" borderId="0"/>
    <xf numFmtId="0" fontId="6" fillId="0" borderId="0"/>
    <xf numFmtId="0" fontId="6" fillId="0" borderId="0"/>
    <xf numFmtId="0" fontId="11"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1" fillId="0" borderId="0"/>
    <xf numFmtId="0" fontId="6" fillId="0" borderId="0"/>
    <xf numFmtId="0" fontId="6" fillId="0" borderId="0"/>
    <xf numFmtId="0" fontId="6" fillId="0" borderId="0"/>
    <xf numFmtId="0" fontId="21" fillId="17" borderId="9" applyNumberFormat="0" applyFont="0" applyAlignment="0" applyProtection="0"/>
    <xf numFmtId="0" fontId="11" fillId="13" borderId="9" applyNumberFormat="0" applyFont="0" applyAlignment="0" applyProtection="0"/>
    <xf numFmtId="0" fontId="21" fillId="17" borderId="9" applyNumberFormat="0" applyFont="0" applyAlignment="0" applyProtection="0"/>
    <xf numFmtId="0" fontId="21" fillId="17" borderId="9" applyNumberFormat="0" applyFont="0" applyAlignment="0" applyProtection="0"/>
    <xf numFmtId="0" fontId="6" fillId="0" borderId="0"/>
    <xf numFmtId="0" fontId="22" fillId="0" borderId="0"/>
    <xf numFmtId="0" fontId="9" fillId="0" borderId="0" applyNumberFormat="0" applyFill="0" applyBorder="0" applyAlignment="0" applyProtection="0"/>
    <xf numFmtId="0" fontId="22" fillId="0" borderId="0"/>
    <xf numFmtId="0" fontId="22" fillId="13" borderId="9" applyNumberFormat="0" applyFont="0" applyAlignment="0" applyProtection="0"/>
    <xf numFmtId="0" fontId="6" fillId="0" borderId="0"/>
    <xf numFmtId="0" fontId="22" fillId="0" borderId="0"/>
    <xf numFmtId="44" fontId="6" fillId="0" borderId="0" applyFont="0" applyFill="0" applyBorder="0" applyAlignment="0" applyProtection="0"/>
  </cellStyleXfs>
  <cellXfs count="145">
    <xf numFmtId="0" fontId="0" fillId="0" borderId="0" xfId="0"/>
    <xf numFmtId="0" fontId="0" fillId="0" borderId="0" xfId="0" applyAlignment="1">
      <alignment horizontal="center" vertical="center"/>
    </xf>
    <xf numFmtId="0" fontId="1" fillId="3" borderId="1" xfId="0" applyFont="1" applyFill="1" applyBorder="1" applyAlignment="1">
      <alignment horizontal="center" vertical="center" wrapText="1"/>
    </xf>
    <xf numFmtId="0" fontId="0" fillId="6" borderId="1" xfId="0" applyFill="1" applyBorder="1" applyAlignment="1">
      <alignment horizontal="center" vertical="center"/>
    </xf>
    <xf numFmtId="0" fontId="0" fillId="2" borderId="1" xfId="0" applyFill="1" applyBorder="1" applyAlignment="1">
      <alignment horizontal="center" vertical="center"/>
    </xf>
    <xf numFmtId="0" fontId="0" fillId="2" borderId="1" xfId="0" applyFill="1" applyBorder="1" applyAlignment="1">
      <alignment horizontal="center" vertical="center" wrapText="1"/>
    </xf>
    <xf numFmtId="0" fontId="0" fillId="8" borderId="1" xfId="0" applyFill="1" applyBorder="1" applyAlignment="1">
      <alignment horizontal="center" vertical="center"/>
    </xf>
    <xf numFmtId="0" fontId="2" fillId="8" borderId="4" xfId="0" applyFont="1" applyFill="1" applyBorder="1" applyAlignment="1">
      <alignment horizontal="center" vertical="center"/>
    </xf>
    <xf numFmtId="0" fontId="2" fillId="6" borderId="3" xfId="0" applyFont="1" applyFill="1" applyBorder="1" applyAlignment="1">
      <alignment horizontal="center" vertical="center"/>
    </xf>
    <xf numFmtId="0" fontId="2" fillId="7" borderId="2" xfId="0" applyFont="1" applyFill="1" applyBorder="1" applyAlignment="1">
      <alignment horizontal="center" wrapText="1"/>
    </xf>
    <xf numFmtId="0" fontId="0" fillId="0" borderId="0" xfId="0" applyAlignment="1">
      <alignment vertical="top" wrapText="1"/>
    </xf>
    <xf numFmtId="0" fontId="0" fillId="0" borderId="5" xfId="0" applyBorder="1" applyAlignment="1">
      <alignment vertical="top" wrapText="1"/>
    </xf>
    <xf numFmtId="0" fontId="0" fillId="0" borderId="0" xfId="0" applyAlignment="1">
      <alignment horizontal="left" vertical="top"/>
    </xf>
    <xf numFmtId="49" fontId="1" fillId="3" borderId="1" xfId="0" applyNumberFormat="1" applyFont="1" applyFill="1" applyBorder="1" applyAlignment="1">
      <alignment horizontal="center" vertical="center"/>
    </xf>
    <xf numFmtId="0" fontId="0" fillId="0" borderId="1" xfId="0" applyBorder="1" applyAlignment="1">
      <alignment vertical="top" wrapText="1"/>
    </xf>
    <xf numFmtId="0" fontId="0" fillId="0" borderId="7" xfId="0" applyBorder="1" applyAlignment="1">
      <alignment vertical="top" wrapText="1"/>
    </xf>
    <xf numFmtId="0" fontId="0" fillId="0" borderId="5" xfId="0" applyBorder="1" applyAlignment="1">
      <alignment horizontal="left" vertical="top" wrapText="1"/>
    </xf>
    <xf numFmtId="0" fontId="0" fillId="0" borderId="6" xfId="0" applyBorder="1" applyAlignment="1">
      <alignment horizontal="center" vertical="top"/>
    </xf>
    <xf numFmtId="0" fontId="0" fillId="0" borderId="0" xfId="0" applyAlignment="1">
      <alignment vertical="top"/>
    </xf>
    <xf numFmtId="0" fontId="0" fillId="0" borderId="6" xfId="0" applyBorder="1" applyAlignment="1">
      <alignment vertical="top" wrapText="1"/>
    </xf>
    <xf numFmtId="0" fontId="0" fillId="0" borderId="1" xfId="0" applyBorder="1" applyAlignment="1">
      <alignment horizontal="left" vertical="top" wrapText="1"/>
    </xf>
    <xf numFmtId="0" fontId="0" fillId="0" borderId="1" xfId="0" applyBorder="1" applyAlignment="1">
      <alignment horizontal="center" vertical="top" wrapText="1"/>
    </xf>
    <xf numFmtId="0" fontId="0" fillId="0" borderId="6" xfId="0" applyBorder="1" applyAlignment="1">
      <alignment horizontal="left" vertical="top" wrapText="1"/>
    </xf>
    <xf numFmtId="0" fontId="1" fillId="14" borderId="0" xfId="0" applyFont="1" applyFill="1" applyAlignment="1">
      <alignment horizontal="center" vertical="center" wrapText="1"/>
    </xf>
    <xf numFmtId="0" fontId="7" fillId="18" borderId="10" xfId="52" quotePrefix="1" applyFont="1" applyFill="1" applyBorder="1" applyAlignment="1">
      <alignment vertical="top" wrapText="1"/>
    </xf>
    <xf numFmtId="0" fontId="7" fillId="18" borderId="11" xfId="0" applyFont="1" applyFill="1" applyBorder="1" applyAlignment="1">
      <alignment vertical="top" wrapText="1"/>
    </xf>
    <xf numFmtId="0" fontId="0" fillId="0" borderId="5" xfId="0" applyBorder="1" applyAlignment="1">
      <alignment horizontal="center" vertical="top"/>
    </xf>
    <xf numFmtId="0" fontId="0" fillId="0" borderId="1" xfId="0" applyBorder="1" applyAlignment="1">
      <alignment horizontal="center" vertical="top"/>
    </xf>
    <xf numFmtId="0" fontId="1" fillId="19" borderId="1" xfId="0" applyFont="1" applyFill="1" applyBorder="1" applyAlignment="1">
      <alignment horizontal="center" vertical="center"/>
    </xf>
    <xf numFmtId="0" fontId="1" fillId="19" borderId="1" xfId="0" applyFont="1" applyFill="1" applyBorder="1" applyAlignment="1">
      <alignment horizontal="center" vertical="top" wrapText="1"/>
    </xf>
    <xf numFmtId="0" fontId="1" fillId="19" borderId="1" xfId="0" applyFont="1" applyFill="1" applyBorder="1" applyAlignment="1">
      <alignment horizontal="center" vertical="top"/>
    </xf>
    <xf numFmtId="0" fontId="1" fillId="3" borderId="1" xfId="0" applyFont="1" applyFill="1" applyBorder="1" applyAlignment="1">
      <alignment horizontal="center" vertical="top" wrapText="1"/>
    </xf>
    <xf numFmtId="0" fontId="0" fillId="0" borderId="0" xfId="0" applyAlignment="1">
      <alignment horizontal="center" vertical="top"/>
    </xf>
    <xf numFmtId="0" fontId="23" fillId="0" borderId="0" xfId="0" applyFont="1" applyAlignment="1">
      <alignment vertical="center"/>
    </xf>
    <xf numFmtId="0" fontId="0" fillId="0" borderId="0" xfId="0" applyFill="1" applyAlignment="1">
      <alignment horizontal="left" vertical="top" wrapText="1"/>
    </xf>
    <xf numFmtId="49" fontId="0" fillId="0" borderId="0" xfId="0" applyNumberFormat="1" applyFill="1" applyAlignment="1">
      <alignment horizontal="center" vertical="top"/>
    </xf>
    <xf numFmtId="0" fontId="0" fillId="0" borderId="0" xfId="0" applyFill="1"/>
    <xf numFmtId="0" fontId="1" fillId="3" borderId="13" xfId="0" applyFont="1" applyFill="1" applyBorder="1" applyAlignment="1">
      <alignment horizontal="center" vertical="center" wrapText="1"/>
    </xf>
    <xf numFmtId="0" fontId="0" fillId="0" borderId="13" xfId="0" applyBorder="1" applyAlignment="1">
      <alignment horizontal="left" vertical="top" wrapText="1"/>
    </xf>
    <xf numFmtId="0" fontId="0" fillId="0" borderId="14" xfId="0" applyBorder="1" applyAlignment="1">
      <alignment horizontal="left" vertical="top" wrapText="1"/>
    </xf>
    <xf numFmtId="0" fontId="0" fillId="0" borderId="15" xfId="0" applyBorder="1" applyAlignment="1">
      <alignment horizontal="left" vertical="top" wrapText="1"/>
    </xf>
    <xf numFmtId="0" fontId="0" fillId="0" borderId="1" xfId="0" applyFill="1" applyBorder="1" applyAlignment="1">
      <alignment vertical="top" wrapText="1"/>
    </xf>
    <xf numFmtId="0" fontId="0" fillId="0" borderId="13" xfId="0" applyFont="1" applyFill="1" applyBorder="1" applyAlignment="1">
      <alignment horizontal="left" vertical="top" wrapText="1"/>
    </xf>
    <xf numFmtId="0" fontId="0" fillId="0" borderId="1" xfId="0" applyFont="1" applyFill="1" applyBorder="1" applyAlignment="1">
      <alignment horizontal="left" vertical="top" wrapText="1"/>
    </xf>
    <xf numFmtId="0" fontId="0" fillId="0" borderId="0" xfId="0" applyFont="1" applyFill="1"/>
    <xf numFmtId="0" fontId="0" fillId="0" borderId="16" xfId="0" applyBorder="1" applyAlignment="1">
      <alignment horizontal="left" vertical="top" wrapText="1"/>
    </xf>
    <xf numFmtId="0" fontId="0" fillId="0" borderId="5" xfId="0" applyFill="1" applyBorder="1" applyAlignment="1">
      <alignment horizontal="left" vertical="top" wrapText="1"/>
    </xf>
    <xf numFmtId="0" fontId="0" fillId="0" borderId="13" xfId="0" applyFill="1" applyBorder="1" applyAlignment="1">
      <alignment horizontal="left" vertical="top" wrapText="1"/>
    </xf>
    <xf numFmtId="0" fontId="0" fillId="0" borderId="1" xfId="0" applyFill="1" applyBorder="1" applyAlignment="1">
      <alignment horizontal="left" vertical="top"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6" xfId="0" applyBorder="1" applyAlignment="1">
      <alignment horizontal="center" vertical="center" wrapText="1"/>
    </xf>
    <xf numFmtId="0" fontId="0" fillId="0" borderId="5" xfId="0" applyBorder="1" applyAlignment="1">
      <alignment horizontal="center" vertical="center"/>
    </xf>
    <xf numFmtId="0" fontId="0" fillId="0" borderId="1" xfId="0" applyFill="1" applyBorder="1" applyAlignment="1">
      <alignment horizontal="center" vertical="center"/>
    </xf>
    <xf numFmtId="0" fontId="7" fillId="0" borderId="1" xfId="0" applyFont="1" applyBorder="1" applyAlignment="1">
      <alignment horizontal="center" vertical="center"/>
    </xf>
    <xf numFmtId="0" fontId="0" fillId="0" borderId="1" xfId="0" applyFont="1" applyFill="1" applyBorder="1" applyAlignment="1">
      <alignment horizontal="center" vertical="center"/>
    </xf>
    <xf numFmtId="0" fontId="0" fillId="0" borderId="5" xfId="0" applyFill="1" applyBorder="1" applyAlignment="1">
      <alignment horizontal="center" vertical="center"/>
    </xf>
    <xf numFmtId="49" fontId="0" fillId="0" borderId="1" xfId="0" applyNumberFormat="1" applyBorder="1" applyAlignment="1">
      <alignment horizontal="center" vertical="center"/>
    </xf>
    <xf numFmtId="49" fontId="0" fillId="0" borderId="1" xfId="0" applyNumberFormat="1" applyBorder="1" applyAlignment="1">
      <alignment horizontal="center" vertical="center" wrapText="1"/>
    </xf>
    <xf numFmtId="0" fontId="0" fillId="0" borderId="15" xfId="0" applyFill="1" applyBorder="1" applyAlignment="1">
      <alignment horizontal="left" vertical="top" wrapText="1"/>
    </xf>
    <xf numFmtId="49" fontId="0" fillId="0" borderId="5" xfId="0" applyNumberFormat="1" applyBorder="1" applyAlignment="1">
      <alignment horizontal="center" vertical="center"/>
    </xf>
    <xf numFmtId="0" fontId="3" fillId="3" borderId="1" xfId="0" applyFont="1" applyFill="1" applyBorder="1" applyAlignment="1">
      <alignment horizontal="center" vertical="center" wrapText="1"/>
    </xf>
    <xf numFmtId="0" fontId="5" fillId="0" borderId="0" xfId="0" quotePrefix="1" applyFont="1" applyAlignment="1">
      <alignment horizontal="left" vertical="top" wrapText="1"/>
    </xf>
    <xf numFmtId="0" fontId="0" fillId="0" borderId="17" xfId="0" applyBorder="1" applyAlignment="1">
      <alignment horizontal="left" vertical="top" wrapText="1"/>
    </xf>
    <xf numFmtId="0" fontId="0" fillId="0" borderId="18" xfId="0" applyBorder="1" applyAlignment="1">
      <alignment horizontal="left" vertical="top" wrapText="1"/>
    </xf>
    <xf numFmtId="0" fontId="7" fillId="0" borderId="18" xfId="0" applyFont="1" applyBorder="1" applyAlignment="1">
      <alignment horizontal="center" vertical="center"/>
    </xf>
    <xf numFmtId="0" fontId="0" fillId="0" borderId="18" xfId="0" applyBorder="1" applyAlignment="1">
      <alignment horizontal="center" vertical="top"/>
    </xf>
    <xf numFmtId="0" fontId="0" fillId="0" borderId="18" xfId="0" applyBorder="1" applyAlignment="1">
      <alignment vertical="top" wrapText="1"/>
    </xf>
    <xf numFmtId="0" fontId="7" fillId="0" borderId="1" xfId="0" applyFont="1" applyBorder="1" applyAlignment="1">
      <alignment vertical="top" wrapText="1"/>
    </xf>
    <xf numFmtId="0" fontId="0" fillId="0" borderId="18" xfId="0" applyBorder="1" applyAlignment="1">
      <alignment horizontal="center" vertical="center" wrapText="1"/>
    </xf>
    <xf numFmtId="0" fontId="0" fillId="0" borderId="18" xfId="0" applyBorder="1" applyAlignment="1">
      <alignment horizontal="center" vertical="top" wrapText="1"/>
    </xf>
    <xf numFmtId="0" fontId="27" fillId="0" borderId="19" xfId="0" applyFont="1" applyBorder="1" applyAlignment="1">
      <alignment horizontal="center" vertical="center" wrapText="1"/>
    </xf>
    <xf numFmtId="164" fontId="28" fillId="0" borderId="19" xfId="57" applyNumberFormat="1" applyFont="1" applyFill="1" applyBorder="1" applyAlignment="1">
      <alignment horizontal="center" vertical="center" wrapText="1"/>
    </xf>
    <xf numFmtId="14" fontId="28" fillId="0" borderId="19" xfId="0" applyNumberFormat="1" applyFont="1" applyBorder="1" applyAlignment="1">
      <alignment horizontal="center" vertical="center" wrapText="1"/>
    </xf>
    <xf numFmtId="0" fontId="28" fillId="0" borderId="19" xfId="0" applyFont="1" applyBorder="1" applyAlignment="1">
      <alignment horizontal="center" vertical="center" wrapText="1"/>
    </xf>
    <xf numFmtId="0" fontId="0" fillId="0" borderId="18" xfId="0" applyBorder="1" applyAlignment="1">
      <alignment horizontal="center" vertical="center"/>
    </xf>
    <xf numFmtId="0" fontId="0" fillId="0" borderId="7" xfId="0" applyBorder="1" applyAlignment="1">
      <alignment horizontal="left" vertical="top" wrapText="1"/>
    </xf>
    <xf numFmtId="0" fontId="0" fillId="0" borderId="7" xfId="0" applyBorder="1" applyAlignment="1">
      <alignment horizontal="center" vertical="center"/>
    </xf>
    <xf numFmtId="0" fontId="0" fillId="0" borderId="12" xfId="0" applyBorder="1" applyAlignment="1">
      <alignment horizontal="center" vertical="top"/>
    </xf>
    <xf numFmtId="0" fontId="0" fillId="0" borderId="18" xfId="0" applyFill="1" applyBorder="1" applyAlignment="1">
      <alignment horizontal="left" vertical="top" wrapText="1"/>
    </xf>
    <xf numFmtId="0" fontId="0" fillId="0" borderId="18" xfId="0" applyFill="1" applyBorder="1" applyAlignment="1">
      <alignment horizontal="center" vertical="center"/>
    </xf>
    <xf numFmtId="0" fontId="0" fillId="0" borderId="12" xfId="0" applyBorder="1" applyAlignment="1">
      <alignment horizontal="center" vertical="center"/>
    </xf>
    <xf numFmtId="0" fontId="0" fillId="0" borderId="20" xfId="0" applyBorder="1" applyAlignment="1">
      <alignment horizontal="center" vertical="top"/>
    </xf>
    <xf numFmtId="0" fontId="28" fillId="0" borderId="22" xfId="0" applyFont="1" applyBorder="1" applyAlignment="1">
      <alignment vertical="center" wrapText="1"/>
    </xf>
    <xf numFmtId="0" fontId="28" fillId="0" borderId="21" xfId="0" quotePrefix="1" applyFont="1" applyBorder="1" applyAlignment="1">
      <alignment horizontal="left" vertical="center" wrapText="1" indent="1"/>
    </xf>
    <xf numFmtId="0" fontId="28" fillId="0" borderId="21" xfId="0" quotePrefix="1" applyFont="1" applyFill="1" applyBorder="1" applyAlignment="1">
      <alignment horizontal="left" vertical="center" wrapText="1" indent="1"/>
    </xf>
    <xf numFmtId="0" fontId="28" fillId="0" borderId="23" xfId="0" quotePrefix="1" applyFont="1" applyFill="1" applyBorder="1" applyAlignment="1">
      <alignment horizontal="left" vertical="center" wrapText="1" indent="1"/>
    </xf>
    <xf numFmtId="0" fontId="7" fillId="0" borderId="1" xfId="0" applyFont="1" applyFill="1" applyBorder="1" applyAlignment="1">
      <alignment vertical="top" wrapText="1"/>
    </xf>
    <xf numFmtId="0" fontId="29" fillId="20" borderId="0" xfId="0" applyFont="1" applyFill="1" applyAlignment="1">
      <alignment vertical="top" wrapText="1"/>
    </xf>
    <xf numFmtId="0" fontId="5" fillId="0" borderId="0" xfId="0" applyFont="1" applyAlignment="1">
      <alignment horizontal="left" vertical="top" wrapText="1"/>
    </xf>
    <xf numFmtId="0" fontId="5" fillId="0" borderId="0" xfId="0" applyFont="1" applyAlignment="1">
      <alignment vertical="top" wrapText="1"/>
    </xf>
    <xf numFmtId="0" fontId="31" fillId="0" borderId="0" xfId="0" applyFont="1" applyAlignment="1">
      <alignment horizontal="left" vertical="top" wrapText="1" indent="1"/>
    </xf>
    <xf numFmtId="0" fontId="32" fillId="0" borderId="0" xfId="0" applyFont="1" applyAlignment="1">
      <alignment horizontal="left" wrapText="1" indent="2"/>
    </xf>
    <xf numFmtId="0" fontId="5" fillId="0" borderId="0" xfId="0" applyFont="1" applyAlignment="1">
      <alignment horizontal="left" vertical="top" wrapText="1" indent="1"/>
    </xf>
    <xf numFmtId="0" fontId="5" fillId="0" borderId="0" xfId="0" applyFont="1" applyAlignment="1">
      <alignment horizontal="left" vertical="top" wrapText="1" indent="1" readingOrder="1"/>
    </xf>
    <xf numFmtId="0" fontId="5" fillId="0" borderId="0" xfId="0" applyFont="1" applyAlignment="1">
      <alignment horizontal="left" vertical="center" indent="1"/>
    </xf>
    <xf numFmtId="0" fontId="5" fillId="0" borderId="0" xfId="0" applyFont="1" applyAlignment="1">
      <alignment horizontal="left" vertical="top" indent="2"/>
    </xf>
    <xf numFmtId="0" fontId="5" fillId="0" borderId="0" xfId="0" applyFont="1" applyAlignment="1">
      <alignment horizontal="left" vertical="top" wrapText="1" indent="2"/>
    </xf>
    <xf numFmtId="0" fontId="5" fillId="0" borderId="0" xfId="0" applyFont="1" applyAlignment="1">
      <alignment horizontal="left" vertical="top" wrapText="1" indent="2" readingOrder="1"/>
    </xf>
    <xf numFmtId="0" fontId="33" fillId="0" borderId="0" xfId="0" applyFont="1" applyAlignment="1">
      <alignment horizontal="left" vertical="center" wrapText="1" indent="1"/>
    </xf>
    <xf numFmtId="0" fontId="30" fillId="0" borderId="0" xfId="0" applyFont="1" applyAlignment="1">
      <alignment horizontal="left" vertical="top" wrapText="1"/>
    </xf>
    <xf numFmtId="0" fontId="34" fillId="0" borderId="0" xfId="0" applyFont="1" applyAlignment="1">
      <alignment horizontal="left" vertical="top" wrapText="1"/>
    </xf>
    <xf numFmtId="0" fontId="5" fillId="0" borderId="0" xfId="0" applyFont="1" applyAlignment="1">
      <alignment horizontal="left" vertical="top" wrapText="1" indent="5"/>
    </xf>
    <xf numFmtId="0" fontId="34" fillId="0" borderId="0" xfId="0" applyFont="1" applyAlignment="1">
      <alignment horizontal="left" vertical="center" wrapText="1"/>
    </xf>
    <xf numFmtId="0" fontId="7" fillId="0" borderId="1" xfId="0" applyFont="1" applyBorder="1" applyAlignment="1">
      <alignment horizontal="left" vertical="top" wrapText="1"/>
    </xf>
    <xf numFmtId="0" fontId="7" fillId="0" borderId="18" xfId="0" applyFont="1" applyBorder="1" applyAlignment="1">
      <alignment horizontal="left" vertical="top" wrapText="1"/>
    </xf>
    <xf numFmtId="0" fontId="7" fillId="0" borderId="5" xfId="0" applyFont="1" applyBorder="1" applyAlignment="1">
      <alignment vertical="top" wrapText="1"/>
    </xf>
    <xf numFmtId="0" fontId="7" fillId="0" borderId="18" xfId="0" applyFont="1" applyBorder="1" applyAlignment="1">
      <alignment vertical="top" wrapText="1"/>
    </xf>
    <xf numFmtId="0" fontId="7" fillId="0" borderId="6" xfId="0" applyFont="1" applyBorder="1" applyAlignment="1">
      <alignment vertical="top" wrapText="1"/>
    </xf>
    <xf numFmtId="0" fontId="7" fillId="0" borderId="12" xfId="0" applyFont="1" applyBorder="1" applyAlignment="1">
      <alignment vertical="top" wrapText="1"/>
    </xf>
    <xf numFmtId="0" fontId="7" fillId="0" borderId="7" xfId="0" applyFont="1" applyBorder="1" applyAlignment="1">
      <alignment vertical="top" wrapText="1"/>
    </xf>
    <xf numFmtId="0" fontId="7" fillId="0" borderId="5" xfId="0" applyFont="1" applyFill="1" applyBorder="1" applyAlignment="1">
      <alignment vertical="top" wrapText="1"/>
    </xf>
    <xf numFmtId="0" fontId="7" fillId="0" borderId="18" xfId="0" applyFont="1" applyFill="1" applyBorder="1" applyAlignment="1">
      <alignment vertical="top" wrapText="1"/>
    </xf>
    <xf numFmtId="0" fontId="7" fillId="0" borderId="7" xfId="0" applyFont="1" applyFill="1" applyBorder="1" applyAlignment="1">
      <alignment vertical="top" wrapText="1"/>
    </xf>
    <xf numFmtId="0" fontId="7" fillId="0" borderId="1" xfId="0" applyFont="1" applyBorder="1" applyAlignment="1">
      <alignment wrapText="1"/>
    </xf>
    <xf numFmtId="0" fontId="7" fillId="0" borderId="13" xfId="0" applyFont="1" applyFill="1" applyBorder="1" applyAlignment="1">
      <alignment horizontal="left" vertical="top" wrapText="1"/>
    </xf>
    <xf numFmtId="0" fontId="7" fillId="0" borderId="1" xfId="0" applyFont="1" applyFill="1" applyBorder="1" applyAlignment="1">
      <alignment horizontal="left" vertical="top" wrapText="1"/>
    </xf>
    <xf numFmtId="0" fontId="7" fillId="0" borderId="1" xfId="0" applyFont="1" applyFill="1" applyBorder="1" applyAlignment="1">
      <alignment horizontal="center" vertical="center" wrapText="1"/>
    </xf>
    <xf numFmtId="0" fontId="7" fillId="0" borderId="1" xfId="0" applyFont="1" applyFill="1" applyBorder="1" applyAlignment="1">
      <alignment horizontal="center" vertical="top"/>
    </xf>
    <xf numFmtId="0" fontId="7" fillId="0" borderId="0" xfId="0" applyFont="1"/>
    <xf numFmtId="49" fontId="7" fillId="0" borderId="1" xfId="0" applyNumberFormat="1" applyFont="1" applyFill="1" applyBorder="1" applyAlignment="1">
      <alignment horizontal="center" vertical="center" wrapText="1"/>
    </xf>
    <xf numFmtId="0" fontId="7" fillId="0" borderId="15" xfId="0" applyFont="1" applyFill="1" applyBorder="1" applyAlignment="1">
      <alignment horizontal="left" vertical="top" wrapText="1"/>
    </xf>
    <xf numFmtId="0" fontId="7" fillId="0" borderId="5" xfId="0" applyFont="1" applyFill="1" applyBorder="1" applyAlignment="1">
      <alignment horizontal="left" vertical="top" wrapText="1"/>
    </xf>
    <xf numFmtId="0" fontId="7" fillId="0" borderId="5" xfId="0" applyFont="1" applyFill="1" applyBorder="1" applyAlignment="1">
      <alignment horizontal="center" vertical="center" wrapText="1"/>
    </xf>
    <xf numFmtId="0" fontId="7" fillId="0" borderId="5" xfId="0" applyFont="1" applyFill="1" applyBorder="1" applyAlignment="1">
      <alignment horizontal="center" vertical="top"/>
    </xf>
    <xf numFmtId="0" fontId="7" fillId="0" borderId="17" xfId="0" applyFont="1" applyFill="1" applyBorder="1" applyAlignment="1">
      <alignment horizontal="left" vertical="top" wrapText="1"/>
    </xf>
    <xf numFmtId="0" fontId="7" fillId="0" borderId="18" xfId="0" applyFont="1" applyFill="1" applyBorder="1" applyAlignment="1">
      <alignment horizontal="left" vertical="top" wrapText="1"/>
    </xf>
    <xf numFmtId="0" fontId="7" fillId="0" borderId="18" xfId="0" applyFont="1" applyFill="1" applyBorder="1" applyAlignment="1">
      <alignment horizontal="center" vertical="center" wrapText="1"/>
    </xf>
    <xf numFmtId="0" fontId="7" fillId="0" borderId="18" xfId="0" applyFont="1" applyFill="1" applyBorder="1" applyAlignment="1">
      <alignment horizontal="center" vertical="top"/>
    </xf>
    <xf numFmtId="0" fontId="7" fillId="0" borderId="7" xfId="0" applyFont="1" applyFill="1" applyBorder="1" applyAlignment="1">
      <alignment horizontal="center" vertical="center" wrapText="1"/>
    </xf>
    <xf numFmtId="0" fontId="7" fillId="0" borderId="7" xfId="0" applyFont="1" applyFill="1" applyBorder="1" applyAlignment="1">
      <alignment horizontal="center" vertical="top"/>
    </xf>
    <xf numFmtId="0" fontId="23" fillId="0" borderId="0" xfId="0" applyFont="1" applyAlignment="1">
      <alignment horizontal="center" vertical="center" wrapText="1"/>
    </xf>
    <xf numFmtId="164" fontId="28" fillId="0" borderId="22" xfId="57" applyNumberFormat="1" applyFont="1" applyFill="1" applyBorder="1" applyAlignment="1">
      <alignment horizontal="center" vertical="center" wrapText="1"/>
    </xf>
    <xf numFmtId="164" fontId="28" fillId="0" borderId="21" xfId="57" applyNumberFormat="1" applyFont="1" applyFill="1" applyBorder="1" applyAlignment="1">
      <alignment horizontal="center" vertical="center" wrapText="1"/>
    </xf>
    <xf numFmtId="164" fontId="28" fillId="0" borderId="23" xfId="57" applyNumberFormat="1" applyFont="1" applyFill="1" applyBorder="1" applyAlignment="1">
      <alignment horizontal="center" vertical="center" wrapText="1"/>
    </xf>
    <xf numFmtId="14" fontId="7" fillId="0" borderId="22" xfId="0" applyNumberFormat="1" applyFont="1" applyBorder="1" applyAlignment="1">
      <alignment horizontal="center" vertical="center" wrapText="1"/>
    </xf>
    <xf numFmtId="14" fontId="7" fillId="0" borderId="21" xfId="0" applyNumberFormat="1" applyFont="1" applyBorder="1" applyAlignment="1">
      <alignment horizontal="center" vertical="center" wrapText="1"/>
    </xf>
    <xf numFmtId="14" fontId="7" fillId="0" borderId="23" xfId="0" applyNumberFormat="1" applyFont="1" applyBorder="1" applyAlignment="1">
      <alignment horizontal="center" vertical="center" wrapText="1"/>
    </xf>
    <xf numFmtId="0" fontId="28" fillId="0" borderId="22" xfId="0" applyFont="1" applyBorder="1" applyAlignment="1">
      <alignment horizontal="center" vertical="center" wrapText="1"/>
    </xf>
    <xf numFmtId="0" fontId="28" fillId="0" borderId="21" xfId="0" applyFont="1" applyBorder="1" applyAlignment="1">
      <alignment horizontal="center" vertical="center" wrapText="1"/>
    </xf>
    <xf numFmtId="0" fontId="28" fillId="0" borderId="23" xfId="0" applyFont="1" applyBorder="1" applyAlignment="1">
      <alignment horizontal="center" vertical="center" wrapText="1"/>
    </xf>
    <xf numFmtId="0" fontId="7" fillId="0" borderId="0" xfId="0" applyFont="1" applyAlignment="1">
      <alignment horizontal="left" vertical="top" wrapText="1"/>
    </xf>
    <xf numFmtId="0" fontId="4" fillId="5" borderId="1" xfId="0" applyFont="1" applyFill="1" applyBorder="1" applyAlignment="1">
      <alignment horizontal="center"/>
    </xf>
    <xf numFmtId="0" fontId="3" fillId="3" borderId="1" xfId="0" applyFont="1" applyFill="1" applyBorder="1" applyAlignment="1">
      <alignment horizontal="center" vertical="center" wrapText="1"/>
    </xf>
    <xf numFmtId="0" fontId="0" fillId="4" borderId="1" xfId="0" applyFill="1" applyBorder="1" applyAlignment="1">
      <alignment horizontal="center" vertical="center" wrapText="1"/>
    </xf>
  </cellXfs>
  <cellStyles count="58">
    <cellStyle name="20% - Accent3 2" xfId="4" xr:uid="{00000000-0005-0000-0000-000000000000}"/>
    <cellStyle name="20% - Accent3 3" xfId="5" xr:uid="{00000000-0005-0000-0000-000001000000}"/>
    <cellStyle name="20% - Accent3 4" xfId="6" xr:uid="{00000000-0005-0000-0000-000002000000}"/>
    <cellStyle name="40% - Accent3 2" xfId="7" xr:uid="{00000000-0005-0000-0000-000003000000}"/>
    <cellStyle name="40% - Accent3 3" xfId="8" xr:uid="{00000000-0005-0000-0000-000004000000}"/>
    <cellStyle name="40% - Accent3 4" xfId="9" xr:uid="{00000000-0005-0000-0000-000005000000}"/>
    <cellStyle name="Bad 2" xfId="10" xr:uid="{00000000-0005-0000-0000-000006000000}"/>
    <cellStyle name="Bad 3" xfId="11" xr:uid="{00000000-0005-0000-0000-000007000000}"/>
    <cellStyle name="Bad 4" xfId="12" xr:uid="{00000000-0005-0000-0000-000008000000}"/>
    <cellStyle name="Bad 5" xfId="13" xr:uid="{00000000-0005-0000-0000-000009000000}"/>
    <cellStyle name="Currency" xfId="57" builtinId="4"/>
    <cellStyle name="Good 2" xfId="14" xr:uid="{00000000-0005-0000-0000-00000A000000}"/>
    <cellStyle name="Hyperlink" xfId="15" xr:uid="{00000000-0005-0000-0000-00000B000000}"/>
    <cellStyle name="Hyperlink 2" xfId="52" xr:uid="{00000000-0005-0000-0000-00000C000000}"/>
    <cellStyle name="Input 2" xfId="16" xr:uid="{00000000-0005-0000-0000-00000D000000}"/>
    <cellStyle name="Input 3" xfId="17" xr:uid="{00000000-0005-0000-0000-00000E000000}"/>
    <cellStyle name="Neutral 2" xfId="18" xr:uid="{00000000-0005-0000-0000-00000F000000}"/>
    <cellStyle name="Neutral 3" xfId="19" xr:uid="{00000000-0005-0000-0000-000010000000}"/>
    <cellStyle name="Neutral 4" xfId="20" xr:uid="{00000000-0005-0000-0000-000011000000}"/>
    <cellStyle name="Neutral 5" xfId="21" xr:uid="{00000000-0005-0000-0000-000012000000}"/>
    <cellStyle name="Neutral 6" xfId="22" xr:uid="{00000000-0005-0000-0000-000013000000}"/>
    <cellStyle name="Normal" xfId="0" builtinId="0"/>
    <cellStyle name="Normal 10" xfId="23" xr:uid="{00000000-0005-0000-0000-000015000000}"/>
    <cellStyle name="Normal 11" xfId="2" xr:uid="{00000000-0005-0000-0000-000016000000}"/>
    <cellStyle name="Normal 11 2" xfId="50" xr:uid="{00000000-0005-0000-0000-000017000000}"/>
    <cellStyle name="Normal 12" xfId="1" xr:uid="{00000000-0005-0000-0000-000018000000}"/>
    <cellStyle name="Normal 2" xfId="24" xr:uid="{00000000-0005-0000-0000-000019000000}"/>
    <cellStyle name="Normal 2 2" xfId="25" xr:uid="{00000000-0005-0000-0000-00001A000000}"/>
    <cellStyle name="Normal 2 3" xfId="26" xr:uid="{00000000-0005-0000-0000-00001B000000}"/>
    <cellStyle name="Normal 2 4" xfId="27" xr:uid="{00000000-0005-0000-0000-00001C000000}"/>
    <cellStyle name="Normal 2 5" xfId="55" xr:uid="{00000000-0005-0000-0000-00001D000000}"/>
    <cellStyle name="Normal 3" xfId="28" xr:uid="{00000000-0005-0000-0000-00001E000000}"/>
    <cellStyle name="Normal 3 2" xfId="29" xr:uid="{00000000-0005-0000-0000-00001F000000}"/>
    <cellStyle name="Normal 3 2 2" xfId="30" xr:uid="{00000000-0005-0000-0000-000020000000}"/>
    <cellStyle name="Normal 3 2 3" xfId="31" xr:uid="{00000000-0005-0000-0000-000021000000}"/>
    <cellStyle name="Normal 3 2 3 2" xfId="3" xr:uid="{00000000-0005-0000-0000-000022000000}"/>
    <cellStyle name="Normal 3 2 3 2 2" xfId="32" xr:uid="{00000000-0005-0000-0000-000023000000}"/>
    <cellStyle name="Normal 3 3" xfId="33" xr:uid="{00000000-0005-0000-0000-000024000000}"/>
    <cellStyle name="Normal 3 4" xfId="56" xr:uid="{00000000-0005-0000-0000-000025000000}"/>
    <cellStyle name="Normal 4" xfId="34" xr:uid="{00000000-0005-0000-0000-000026000000}"/>
    <cellStyle name="Normal 4 2" xfId="35" xr:uid="{00000000-0005-0000-0000-000027000000}"/>
    <cellStyle name="Normal 4 2 2" xfId="53" xr:uid="{00000000-0005-0000-0000-000028000000}"/>
    <cellStyle name="Normal 4 3" xfId="36" xr:uid="{00000000-0005-0000-0000-000029000000}"/>
    <cellStyle name="Normal 5" xfId="37" xr:uid="{00000000-0005-0000-0000-00002A000000}"/>
    <cellStyle name="Normal 5 2" xfId="38" xr:uid="{00000000-0005-0000-0000-00002B000000}"/>
    <cellStyle name="Normal 5 2 2" xfId="39" xr:uid="{00000000-0005-0000-0000-00002C000000}"/>
    <cellStyle name="Normal 5 2 3" xfId="40" xr:uid="{00000000-0005-0000-0000-00002D000000}"/>
    <cellStyle name="Normal 5 3" xfId="51" xr:uid="{00000000-0005-0000-0000-00002E000000}"/>
    <cellStyle name="Normal 6" xfId="41" xr:uid="{00000000-0005-0000-0000-00002F000000}"/>
    <cellStyle name="Normal 7" xfId="42" xr:uid="{00000000-0005-0000-0000-000030000000}"/>
    <cellStyle name="Normal 8" xfId="43" xr:uid="{00000000-0005-0000-0000-000031000000}"/>
    <cellStyle name="Normal 8 2" xfId="44" xr:uid="{00000000-0005-0000-0000-000032000000}"/>
    <cellStyle name="Normal 9" xfId="45" xr:uid="{00000000-0005-0000-0000-000033000000}"/>
    <cellStyle name="Note 2" xfId="46" xr:uid="{00000000-0005-0000-0000-000034000000}"/>
    <cellStyle name="Note 2 2" xfId="47" xr:uid="{00000000-0005-0000-0000-000035000000}"/>
    <cellStyle name="Note 2 3" xfId="54" xr:uid="{00000000-0005-0000-0000-000036000000}"/>
    <cellStyle name="Note 3" xfId="48" xr:uid="{00000000-0005-0000-0000-000037000000}"/>
    <cellStyle name="Note 4" xfId="49" xr:uid="{00000000-0005-0000-0000-000038000000}"/>
  </cellStyles>
  <dxfs count="10">
    <dxf>
      <font>
        <outline val="0"/>
        <shadow val="0"/>
        <u val="none"/>
        <vertAlign val="baseline"/>
        <sz val="11"/>
        <color auto="1"/>
        <name val="Calibri"/>
        <family val="2"/>
        <scheme val="minor"/>
      </font>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strike/>
      </font>
      <fill>
        <patternFill patternType="solid">
          <fgColor indexed="64"/>
          <bgColor theme="7"/>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rgb="FFC000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border>
    </dxf>
    <dxf>
      <alignment horizontal="general" vertical="top" textRotation="0" wrapText="1"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70C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xr9:uid="{00000000-0011-0000-FFFF-FFFF00000000}"/>
  </tableStyles>
  <colors>
    <mruColors>
      <color rgb="FFFBC5C5"/>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Business%20Capabilities/Integrated%20Business%20Capabilities_Final_v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685D2E3-6EFC-4541-A766-B72D5A706A3B}" name="Table1" displayName="Table1" ref="A1:G751" totalsRowShown="0" headerRowDxfId="9" dataDxfId="8" tableBorderDxfId="7">
  <autoFilter ref="A1:G751" xr:uid="{874AEE34-5118-4BFE-8D19-25B512A6F762}"/>
  <tableColumns count="7">
    <tableColumn id="1" xr3:uid="{0D8954F8-E7C8-477C-8798-1843FE0B0AF7}" name="GRM Function ID and Name" dataDxfId="6"/>
    <tableColumn id="3" xr3:uid="{40E531AE-414E-4AF2-9345-FD1F538B7675}" name="GRM Activity ID and Name" dataDxfId="5"/>
    <tableColumn id="10" xr3:uid="{2A269DEC-5625-4BAA-8B45-4AAC3A463000}" name="Capability ID" dataDxfId="4"/>
    <tableColumn id="6" xr3:uid="{78314836-6C65-4FBC-BCA0-D08125DF1BC2}" name="(I)input_x000a_(P)process_x000a_(O)output" dataDxfId="3"/>
    <tableColumn id="4" xr3:uid="{B78269B4-A29F-40E3-9A6E-E6ECEC6A4207}" name="Business Capability Statement" dataDxfId="2"/>
    <tableColumn id="2" xr3:uid="{67644E69-2EE9-4314-85C6-2C833E150342}" name="Authoritative Reference" dataDxfId="1"/>
    <tableColumn id="9" xr3:uid="{4E165746-FBF3-443A-BFC6-66ECF8AB478E}" name="Other Sources" dataDxfId="0"/>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61731-DBDB-4342-A4CD-A044BA5F48E2}">
  <sheetPr codeName="Sheet1"/>
  <dimension ref="A1:I14"/>
  <sheetViews>
    <sheetView showGridLines="0" tabSelected="1" zoomScaleNormal="100" workbookViewId="0">
      <selection sqref="A1:D1"/>
    </sheetView>
  </sheetViews>
  <sheetFormatPr defaultRowHeight="14.4" x14ac:dyDescent="0.3"/>
  <cols>
    <col min="1" max="1" width="8.5546875" customWidth="1"/>
    <col min="2" max="2" width="12" customWidth="1"/>
    <col min="3" max="3" width="61.44140625" customWidth="1"/>
    <col min="4" max="4" width="21" customWidth="1"/>
  </cols>
  <sheetData>
    <row r="1" spans="1:9" ht="105.6" customHeight="1" thickBot="1" x14ac:dyDescent="0.35">
      <c r="A1" s="131" t="s">
        <v>0</v>
      </c>
      <c r="B1" s="131"/>
      <c r="C1" s="131"/>
      <c r="D1" s="131"/>
      <c r="E1" s="33"/>
      <c r="F1" s="33"/>
      <c r="G1" s="33"/>
      <c r="H1" s="33"/>
      <c r="I1" s="33"/>
    </row>
    <row r="2" spans="1:9" ht="15" thickBot="1" x14ac:dyDescent="0.35">
      <c r="A2" s="71" t="s">
        <v>1138</v>
      </c>
      <c r="B2" s="71" t="s">
        <v>1139</v>
      </c>
      <c r="C2" s="71" t="s">
        <v>1140</v>
      </c>
      <c r="D2" s="71" t="s">
        <v>1141</v>
      </c>
    </row>
    <row r="3" spans="1:9" ht="15" thickBot="1" x14ac:dyDescent="0.35">
      <c r="A3" s="72">
        <v>1</v>
      </c>
      <c r="B3" s="73">
        <v>43410</v>
      </c>
      <c r="C3" s="83" t="s">
        <v>1186</v>
      </c>
      <c r="D3" s="74" t="s">
        <v>1142</v>
      </c>
    </row>
    <row r="4" spans="1:9" ht="28.8" x14ac:dyDescent="0.3">
      <c r="A4" s="132">
        <v>2</v>
      </c>
      <c r="B4" s="135">
        <v>44336</v>
      </c>
      <c r="C4" s="83" t="s">
        <v>1178</v>
      </c>
      <c r="D4" s="138" t="s">
        <v>1143</v>
      </c>
    </row>
    <row r="5" spans="1:9" ht="28.8" x14ac:dyDescent="0.3">
      <c r="A5" s="133"/>
      <c r="B5" s="136"/>
      <c r="C5" s="84" t="s">
        <v>1182</v>
      </c>
      <c r="D5" s="139"/>
    </row>
    <row r="6" spans="1:9" ht="43.2" x14ac:dyDescent="0.3">
      <c r="A6" s="133"/>
      <c r="B6" s="136"/>
      <c r="C6" s="84" t="s">
        <v>1253</v>
      </c>
      <c r="D6" s="139"/>
    </row>
    <row r="7" spans="1:9" ht="43.2" x14ac:dyDescent="0.3">
      <c r="A7" s="133"/>
      <c r="B7" s="136"/>
      <c r="C7" s="85" t="s">
        <v>1183</v>
      </c>
      <c r="D7" s="139"/>
    </row>
    <row r="8" spans="1:9" ht="28.8" x14ac:dyDescent="0.3">
      <c r="A8" s="133"/>
      <c r="B8" s="136"/>
      <c r="C8" s="85" t="s">
        <v>1187</v>
      </c>
      <c r="D8" s="139"/>
    </row>
    <row r="9" spans="1:9" ht="28.8" x14ac:dyDescent="0.3">
      <c r="A9" s="133"/>
      <c r="B9" s="136"/>
      <c r="C9" s="85" t="s">
        <v>1254</v>
      </c>
      <c r="D9" s="139"/>
    </row>
    <row r="10" spans="1:9" ht="28.8" x14ac:dyDescent="0.3">
      <c r="A10" s="133"/>
      <c r="B10" s="136"/>
      <c r="C10" s="85" t="s">
        <v>1184</v>
      </c>
      <c r="D10" s="139"/>
    </row>
    <row r="11" spans="1:9" ht="28.8" x14ac:dyDescent="0.3">
      <c r="A11" s="133"/>
      <c r="B11" s="136"/>
      <c r="C11" s="85" t="s">
        <v>1179</v>
      </c>
      <c r="D11" s="139"/>
    </row>
    <row r="12" spans="1:9" ht="28.8" x14ac:dyDescent="0.3">
      <c r="A12" s="133"/>
      <c r="B12" s="136"/>
      <c r="C12" s="85" t="s">
        <v>1180</v>
      </c>
      <c r="D12" s="139"/>
    </row>
    <row r="13" spans="1:9" x14ac:dyDescent="0.3">
      <c r="A13" s="133"/>
      <c r="B13" s="136"/>
      <c r="C13" s="85" t="s">
        <v>1181</v>
      </c>
      <c r="D13" s="139"/>
    </row>
    <row r="14" spans="1:9" ht="43.8" thickBot="1" x14ac:dyDescent="0.35">
      <c r="A14" s="134"/>
      <c r="B14" s="137"/>
      <c r="C14" s="86" t="s">
        <v>1185</v>
      </c>
      <c r="D14" s="140"/>
    </row>
  </sheetData>
  <mergeCells count="4">
    <mergeCell ref="A1:D1"/>
    <mergeCell ref="A4:A14"/>
    <mergeCell ref="B4:B14"/>
    <mergeCell ref="D4:D14"/>
  </mergeCells>
  <pageMargins left="0.7" right="0.7" top="0.75" bottom="0.75" header="0.3" footer="0.3"/>
  <pageSetup scale="87"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CA2A6-5C47-461C-B8EE-C2BE70913FEB}">
  <sheetPr codeName="Sheet2"/>
  <dimension ref="A1:B8"/>
  <sheetViews>
    <sheetView zoomScaleNormal="100" workbookViewId="0">
      <selection sqref="A1:B1"/>
    </sheetView>
  </sheetViews>
  <sheetFormatPr defaultRowHeight="14.4" x14ac:dyDescent="0.3"/>
  <cols>
    <col min="1" max="1" width="11.77734375" customWidth="1"/>
    <col min="2" max="2" width="62.44140625" customWidth="1"/>
  </cols>
  <sheetData>
    <row r="1" spans="1:2" ht="37.5" customHeight="1" x14ac:dyDescent="0.3">
      <c r="A1" s="141" t="s">
        <v>1</v>
      </c>
      <c r="B1" s="141"/>
    </row>
    <row r="2" spans="1:2" x14ac:dyDescent="0.3">
      <c r="A2" s="23" t="s">
        <v>2</v>
      </c>
      <c r="B2" s="23" t="s">
        <v>3</v>
      </c>
    </row>
    <row r="3" spans="1:2" ht="28.8" x14ac:dyDescent="0.3">
      <c r="A3" s="24" t="s">
        <v>4</v>
      </c>
      <c r="B3" s="25" t="s">
        <v>1144</v>
      </c>
    </row>
    <row r="4" spans="1:2" ht="28.8" x14ac:dyDescent="0.3">
      <c r="A4" s="24" t="s">
        <v>5</v>
      </c>
      <c r="B4" s="25" t="s">
        <v>6</v>
      </c>
    </row>
    <row r="5" spans="1:2" ht="28.8" x14ac:dyDescent="0.3">
      <c r="A5" s="24" t="s">
        <v>1251</v>
      </c>
      <c r="B5" s="25" t="s">
        <v>1252</v>
      </c>
    </row>
    <row r="6" spans="1:2" x14ac:dyDescent="0.3">
      <c r="A6" s="24" t="s">
        <v>7</v>
      </c>
      <c r="B6" s="25" t="s">
        <v>8</v>
      </c>
    </row>
    <row r="7" spans="1:2" ht="28.8" x14ac:dyDescent="0.3">
      <c r="A7" s="24" t="s">
        <v>9</v>
      </c>
      <c r="B7" s="25" t="s">
        <v>10</v>
      </c>
    </row>
    <row r="8" spans="1:2" ht="28.8" x14ac:dyDescent="0.3">
      <c r="A8" s="24" t="s">
        <v>11</v>
      </c>
      <c r="B8" s="25" t="s">
        <v>12</v>
      </c>
    </row>
  </sheetData>
  <mergeCells count="1">
    <mergeCell ref="A1:B1"/>
  </mergeCells>
  <pageMargins left="0.7" right="0.7" top="0.75" bottom="0.75" header="0.3" footer="0.3"/>
  <pageSetup orientation="landscape" r:id="rId1"/>
  <headerFooter>
    <oddHeader>&amp;C&amp;A</oddHeader>
    <oddFooter>&amp;L&amp;9© 2021 The MITRE Corporation – all rights reserved. 
Federal  Government – unlimited usage rights.  &amp;C&amp;9&amp;F&amp;R&amp;9Page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3B212-55B7-43BD-842E-DDB63A696DD1}">
  <sheetPr codeName="Sheet3">
    <pageSetUpPr fitToPage="1"/>
  </sheetPr>
  <dimension ref="A1:A56"/>
  <sheetViews>
    <sheetView showGridLines="0" zoomScaleNormal="100" workbookViewId="0"/>
  </sheetViews>
  <sheetFormatPr defaultRowHeight="14.4" x14ac:dyDescent="0.3"/>
  <cols>
    <col min="1" max="1" width="83" customWidth="1"/>
  </cols>
  <sheetData>
    <row r="1" spans="1:1" x14ac:dyDescent="0.3">
      <c r="A1" s="88" t="s">
        <v>1190</v>
      </c>
    </row>
    <row r="2" spans="1:1" ht="43.2" x14ac:dyDescent="0.3">
      <c r="A2" s="89" t="s">
        <v>1191</v>
      </c>
    </row>
    <row r="3" spans="1:1" x14ac:dyDescent="0.3">
      <c r="A3" s="89"/>
    </row>
    <row r="4" spans="1:1" ht="28.8" x14ac:dyDescent="0.3">
      <c r="A4" s="89" t="s">
        <v>1192</v>
      </c>
    </row>
    <row r="5" spans="1:1" x14ac:dyDescent="0.3">
      <c r="A5" s="90"/>
    </row>
    <row r="6" spans="1:1" x14ac:dyDescent="0.3">
      <c r="A6" s="88" t="s">
        <v>1193</v>
      </c>
    </row>
    <row r="7" spans="1:1" x14ac:dyDescent="0.3">
      <c r="A7" s="90" t="s">
        <v>1194</v>
      </c>
    </row>
    <row r="8" spans="1:1" ht="28.8" x14ac:dyDescent="0.3">
      <c r="A8" s="91" t="s">
        <v>1195</v>
      </c>
    </row>
    <row r="9" spans="1:1" ht="28.8" x14ac:dyDescent="0.3">
      <c r="A9" s="92" t="s">
        <v>1196</v>
      </c>
    </row>
    <row r="10" spans="1:1" ht="28.8" x14ac:dyDescent="0.3">
      <c r="A10" s="92" t="s">
        <v>1197</v>
      </c>
    </row>
    <row r="11" spans="1:1" ht="28.8" x14ac:dyDescent="0.3">
      <c r="A11" s="93" t="s">
        <v>1198</v>
      </c>
    </row>
    <row r="12" spans="1:1" ht="28.8" x14ac:dyDescent="0.3">
      <c r="A12" s="93" t="s">
        <v>1199</v>
      </c>
    </row>
    <row r="13" spans="1:1" ht="45" customHeight="1" x14ac:dyDescent="0.3">
      <c r="A13" s="93" t="s">
        <v>1200</v>
      </c>
    </row>
    <row r="14" spans="1:1" ht="57.6" x14ac:dyDescent="0.3">
      <c r="A14" s="94" t="s">
        <v>1201</v>
      </c>
    </row>
    <row r="15" spans="1:1" x14ac:dyDescent="0.3">
      <c r="A15" s="95" t="s">
        <v>1202</v>
      </c>
    </row>
    <row r="16" spans="1:1" x14ac:dyDescent="0.3">
      <c r="A16" s="96" t="s">
        <v>1203</v>
      </c>
    </row>
    <row r="17" spans="1:1" x14ac:dyDescent="0.3">
      <c r="A17" s="96" t="s">
        <v>1204</v>
      </c>
    </row>
    <row r="18" spans="1:1" ht="43.2" x14ac:dyDescent="0.3">
      <c r="A18" s="97" t="s">
        <v>1205</v>
      </c>
    </row>
    <row r="19" spans="1:1" x14ac:dyDescent="0.3">
      <c r="A19" s="98" t="s">
        <v>1206</v>
      </c>
    </row>
    <row r="20" spans="1:1" ht="28.8" x14ac:dyDescent="0.3">
      <c r="A20" s="93" t="s">
        <v>1207</v>
      </c>
    </row>
    <row r="21" spans="1:1" x14ac:dyDescent="0.3">
      <c r="A21" s="90"/>
    </row>
    <row r="22" spans="1:1" x14ac:dyDescent="0.3">
      <c r="A22" s="88" t="s">
        <v>1208</v>
      </c>
    </row>
    <row r="23" spans="1:1" x14ac:dyDescent="0.3">
      <c r="A23" s="90" t="s">
        <v>1209</v>
      </c>
    </row>
    <row r="24" spans="1:1" x14ac:dyDescent="0.3">
      <c r="A24" s="99" t="s">
        <v>1210</v>
      </c>
    </row>
    <row r="25" spans="1:1" ht="28.8" x14ac:dyDescent="0.3">
      <c r="A25" s="99" t="s">
        <v>1211</v>
      </c>
    </row>
    <row r="26" spans="1:1" ht="28.8" x14ac:dyDescent="0.3">
      <c r="A26" s="99" t="s">
        <v>1212</v>
      </c>
    </row>
    <row r="27" spans="1:1" x14ac:dyDescent="0.3">
      <c r="A27" s="100" t="s">
        <v>1213</v>
      </c>
    </row>
    <row r="28" spans="1:1" x14ac:dyDescent="0.3">
      <c r="A28" s="101" t="s">
        <v>1214</v>
      </c>
    </row>
    <row r="29" spans="1:1" ht="57.6" x14ac:dyDescent="0.3">
      <c r="A29" s="93" t="s">
        <v>1215</v>
      </c>
    </row>
    <row r="30" spans="1:1" x14ac:dyDescent="0.3">
      <c r="A30" s="97" t="s">
        <v>1216</v>
      </c>
    </row>
    <row r="31" spans="1:1" ht="28.8" x14ac:dyDescent="0.3">
      <c r="A31" s="97" t="s">
        <v>1217</v>
      </c>
    </row>
    <row r="32" spans="1:1" ht="43.2" x14ac:dyDescent="0.3">
      <c r="A32" s="97" t="s">
        <v>1218</v>
      </c>
    </row>
    <row r="33" spans="1:1" ht="28.8" x14ac:dyDescent="0.3">
      <c r="A33" s="93" t="s">
        <v>1219</v>
      </c>
    </row>
    <row r="34" spans="1:1" x14ac:dyDescent="0.3">
      <c r="A34" s="97" t="s">
        <v>1220</v>
      </c>
    </row>
    <row r="35" spans="1:1" x14ac:dyDescent="0.3">
      <c r="A35" s="97" t="s">
        <v>1221</v>
      </c>
    </row>
    <row r="36" spans="1:1" x14ac:dyDescent="0.3">
      <c r="A36" s="97" t="s">
        <v>1222</v>
      </c>
    </row>
    <row r="37" spans="1:1" x14ac:dyDescent="0.3">
      <c r="A37" s="102" t="s">
        <v>1223</v>
      </c>
    </row>
    <row r="38" spans="1:1" x14ac:dyDescent="0.3">
      <c r="A38" s="102" t="s">
        <v>1224</v>
      </c>
    </row>
    <row r="39" spans="1:1" x14ac:dyDescent="0.3">
      <c r="A39" s="102" t="s">
        <v>1225</v>
      </c>
    </row>
    <row r="40" spans="1:1" x14ac:dyDescent="0.3">
      <c r="A40" s="102" t="s">
        <v>1226</v>
      </c>
    </row>
    <row r="41" spans="1:1" ht="28.8" x14ac:dyDescent="0.3">
      <c r="A41" s="102" t="s">
        <v>1227</v>
      </c>
    </row>
    <row r="42" spans="1:1" ht="43.2" x14ac:dyDescent="0.3">
      <c r="A42" s="93" t="s">
        <v>1228</v>
      </c>
    </row>
    <row r="43" spans="1:1" ht="28.8" x14ac:dyDescent="0.3">
      <c r="A43" s="93" t="s">
        <v>1255</v>
      </c>
    </row>
    <row r="44" spans="1:1" ht="43.2" x14ac:dyDescent="0.3">
      <c r="A44" s="94" t="s">
        <v>1229</v>
      </c>
    </row>
    <row r="45" spans="1:1" x14ac:dyDescent="0.3">
      <c r="A45" s="94"/>
    </row>
    <row r="46" spans="1:1" x14ac:dyDescent="0.3">
      <c r="A46" s="103" t="s">
        <v>1230</v>
      </c>
    </row>
    <row r="47" spans="1:1" x14ac:dyDescent="0.3">
      <c r="A47" s="93" t="s">
        <v>1231</v>
      </c>
    </row>
    <row r="48" spans="1:1" x14ac:dyDescent="0.3">
      <c r="A48" s="93" t="s">
        <v>1232</v>
      </c>
    </row>
    <row r="49" spans="1:1" x14ac:dyDescent="0.3">
      <c r="A49" s="93" t="s">
        <v>1233</v>
      </c>
    </row>
    <row r="50" spans="1:1" ht="28.8" x14ac:dyDescent="0.3">
      <c r="A50" s="93" t="s">
        <v>1234</v>
      </c>
    </row>
    <row r="51" spans="1:1" ht="43.2" x14ac:dyDescent="0.3">
      <c r="A51" s="93" t="s">
        <v>1235</v>
      </c>
    </row>
    <row r="52" spans="1:1" ht="43.2" x14ac:dyDescent="0.3">
      <c r="A52" s="94" t="s">
        <v>1236</v>
      </c>
    </row>
    <row r="53" spans="1:1" x14ac:dyDescent="0.3">
      <c r="A53" s="93" t="s">
        <v>1237</v>
      </c>
    </row>
    <row r="54" spans="1:1" ht="43.2" x14ac:dyDescent="0.3">
      <c r="A54" s="97" t="s">
        <v>1238</v>
      </c>
    </row>
    <row r="55" spans="1:1" ht="43.2" x14ac:dyDescent="0.3">
      <c r="A55" s="97" t="s">
        <v>1239</v>
      </c>
    </row>
    <row r="56" spans="1:1" ht="43.2" x14ac:dyDescent="0.3">
      <c r="A56" s="97" t="s">
        <v>1240</v>
      </c>
    </row>
  </sheetData>
  <pageMargins left="0.7" right="0.7" top="0.75" bottom="0.75" header="0.3" footer="0.3"/>
  <pageSetup fitToHeight="0" orientation="landscape" r:id="rId1"/>
  <headerFooter>
    <oddHeader>&amp;C&amp;A</oddHeader>
    <oddFooter>&amp;L&amp;9© 2021 The MITRE Corporation – all rights reserved  
Federal  Government – unlimited usage rights&amp;C&amp;9&amp;F&amp;R&amp;9Page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F63F2-A46E-4CBC-AB83-B9BE4C806D67}">
  <sheetPr codeName="Sheet4"/>
  <dimension ref="A1:C18"/>
  <sheetViews>
    <sheetView zoomScaleNormal="100" workbookViewId="0">
      <pane ySplit="1" topLeftCell="A2" activePane="bottomLeft" state="frozen"/>
      <selection pane="bottomLeft"/>
    </sheetView>
  </sheetViews>
  <sheetFormatPr defaultRowHeight="14.4" x14ac:dyDescent="0.3"/>
  <cols>
    <col min="2" max="2" width="18.77734375" customWidth="1"/>
    <col min="3" max="3" width="69.44140625" customWidth="1"/>
  </cols>
  <sheetData>
    <row r="1" spans="1:3" x14ac:dyDescent="0.3">
      <c r="A1" s="28" t="s">
        <v>13</v>
      </c>
      <c r="B1" s="29" t="s">
        <v>14</v>
      </c>
      <c r="C1" s="30" t="s">
        <v>15</v>
      </c>
    </row>
    <row r="2" spans="1:3" ht="72" x14ac:dyDescent="0.3">
      <c r="A2" s="27" t="s">
        <v>16</v>
      </c>
      <c r="B2" s="20" t="s">
        <v>17</v>
      </c>
      <c r="C2" s="20" t="s">
        <v>18</v>
      </c>
    </row>
    <row r="3" spans="1:3" ht="86.4" x14ac:dyDescent="0.3">
      <c r="A3" s="27" t="s">
        <v>19</v>
      </c>
      <c r="B3" s="20" t="s">
        <v>20</v>
      </c>
      <c r="C3" s="20" t="s">
        <v>21</v>
      </c>
    </row>
    <row r="4" spans="1:3" ht="280.95" customHeight="1" x14ac:dyDescent="0.3">
      <c r="A4" s="27" t="s">
        <v>22</v>
      </c>
      <c r="B4" s="20" t="s">
        <v>23</v>
      </c>
      <c r="C4" s="20" t="s">
        <v>24</v>
      </c>
    </row>
    <row r="5" spans="1:3" ht="104.7" customHeight="1" x14ac:dyDescent="0.3">
      <c r="A5" s="27" t="s">
        <v>25</v>
      </c>
      <c r="B5" s="20" t="s">
        <v>26</v>
      </c>
      <c r="C5" s="20" t="s">
        <v>27</v>
      </c>
    </row>
    <row r="6" spans="1:3" ht="187.2" x14ac:dyDescent="0.3">
      <c r="A6" s="27" t="s">
        <v>28</v>
      </c>
      <c r="B6" s="14" t="s">
        <v>29</v>
      </c>
      <c r="C6" s="14" t="s">
        <v>30</v>
      </c>
    </row>
    <row r="7" spans="1:3" ht="32.700000000000003" customHeight="1" x14ac:dyDescent="0.3">
      <c r="A7" s="27" t="s">
        <v>31</v>
      </c>
      <c r="B7" s="14" t="s">
        <v>32</v>
      </c>
      <c r="C7" s="14" t="s">
        <v>33</v>
      </c>
    </row>
    <row r="8" spans="1:3" ht="34.950000000000003" customHeight="1" x14ac:dyDescent="0.3">
      <c r="A8" s="27" t="s">
        <v>34</v>
      </c>
      <c r="B8" s="14" t="s">
        <v>35</v>
      </c>
      <c r="C8" s="14" t="s">
        <v>36</v>
      </c>
    </row>
    <row r="9" spans="1:3" x14ac:dyDescent="0.3">
      <c r="C9" s="10"/>
    </row>
    <row r="10" spans="1:3" ht="14.55" customHeight="1" x14ac:dyDescent="0.3"/>
    <row r="11" spans="1:3" ht="31.5" customHeight="1" x14ac:dyDescent="0.3"/>
    <row r="12" spans="1:3" ht="15.45" customHeight="1" x14ac:dyDescent="0.3"/>
    <row r="13" spans="1:3" x14ac:dyDescent="0.3">
      <c r="C13" s="10"/>
    </row>
    <row r="14" spans="1:3" x14ac:dyDescent="0.3">
      <c r="C14" s="10"/>
    </row>
    <row r="15" spans="1:3" x14ac:dyDescent="0.3">
      <c r="C15" s="10"/>
    </row>
    <row r="16" spans="1:3" x14ac:dyDescent="0.3">
      <c r="C16" s="10"/>
    </row>
    <row r="17" spans="3:3" x14ac:dyDescent="0.3">
      <c r="C17" s="10"/>
    </row>
    <row r="18" spans="3:3" x14ac:dyDescent="0.3">
      <c r="C18" s="10"/>
    </row>
  </sheetData>
  <pageMargins left="0.7" right="0.7" top="0.75" bottom="0.75" header="0.3" footer="0.3"/>
  <pageSetup orientation="landscape" r:id="rId1"/>
  <headerFooter>
    <oddHeader>&amp;C&amp;A</oddHeader>
    <oddFooter>&amp;L&amp;9© 2021 The MITRE Corporation – all rights reserved. 
Federal  Government – unlimited usage rights.  &amp;C&amp;9&amp;F&amp;R&amp;9Page &amp;P of &amp;N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G758"/>
  <sheetViews>
    <sheetView showGridLines="0" zoomScaleNormal="100" zoomScaleSheetLayoutView="50" workbookViewId="0">
      <pane ySplit="1" topLeftCell="A2" activePane="bottomLeft" state="frozen"/>
      <selection pane="bottomLeft"/>
    </sheetView>
  </sheetViews>
  <sheetFormatPr defaultRowHeight="14.4" x14ac:dyDescent="0.3"/>
  <cols>
    <col min="1" max="1" width="22.21875" style="12" customWidth="1"/>
    <col min="2" max="2" width="23.88671875" style="34" customWidth="1"/>
    <col min="3" max="3" width="15.88671875" style="35" bestFit="1" customWidth="1"/>
    <col min="4" max="4" width="13" style="32" customWidth="1"/>
    <col min="5" max="5" width="37.21875" style="10" customWidth="1"/>
    <col min="6" max="6" width="33.44140625" style="10" customWidth="1"/>
    <col min="7" max="7" width="25.6640625" customWidth="1"/>
  </cols>
  <sheetData>
    <row r="1" spans="1:7" ht="51" customHeight="1" x14ac:dyDescent="0.3">
      <c r="A1" s="37" t="s">
        <v>17</v>
      </c>
      <c r="B1" s="2" t="s">
        <v>20</v>
      </c>
      <c r="C1" s="13" t="s">
        <v>23</v>
      </c>
      <c r="D1" s="31" t="s">
        <v>26</v>
      </c>
      <c r="E1" s="2" t="s">
        <v>29</v>
      </c>
      <c r="F1" s="2" t="s">
        <v>32</v>
      </c>
      <c r="G1" s="2" t="s">
        <v>37</v>
      </c>
    </row>
    <row r="2" spans="1:7" ht="43.2" x14ac:dyDescent="0.3">
      <c r="A2" s="38" t="s">
        <v>38</v>
      </c>
      <c r="B2" s="20" t="s">
        <v>39</v>
      </c>
      <c r="C2" s="49" t="s">
        <v>40</v>
      </c>
      <c r="D2" s="27" t="s">
        <v>41</v>
      </c>
      <c r="E2" s="14" t="s">
        <v>42</v>
      </c>
      <c r="F2" s="14" t="s">
        <v>43</v>
      </c>
      <c r="G2" s="68"/>
    </row>
    <row r="3" spans="1:7" ht="57.6" x14ac:dyDescent="0.3">
      <c r="A3" s="38" t="s">
        <v>38</v>
      </c>
      <c r="B3" s="20" t="s">
        <v>39</v>
      </c>
      <c r="C3" s="49" t="s">
        <v>44</v>
      </c>
      <c r="D3" s="27" t="s">
        <v>45</v>
      </c>
      <c r="E3" s="14" t="s">
        <v>46</v>
      </c>
      <c r="F3" s="68" t="s">
        <v>1256</v>
      </c>
      <c r="G3" s="68"/>
    </row>
    <row r="4" spans="1:7" ht="57.6" x14ac:dyDescent="0.3">
      <c r="A4" s="38" t="s">
        <v>38</v>
      </c>
      <c r="B4" s="20" t="s">
        <v>39</v>
      </c>
      <c r="C4" s="49" t="s">
        <v>47</v>
      </c>
      <c r="D4" s="27" t="s">
        <v>1176</v>
      </c>
      <c r="E4" s="14" t="s">
        <v>48</v>
      </c>
      <c r="F4" s="68" t="s">
        <v>1256</v>
      </c>
      <c r="G4" s="68"/>
    </row>
    <row r="5" spans="1:7" ht="57.6" x14ac:dyDescent="0.3">
      <c r="A5" s="38" t="s">
        <v>38</v>
      </c>
      <c r="B5" s="20" t="s">
        <v>39</v>
      </c>
      <c r="C5" s="49" t="s">
        <v>49</v>
      </c>
      <c r="D5" s="27" t="s">
        <v>45</v>
      </c>
      <c r="E5" s="68" t="s">
        <v>1312</v>
      </c>
      <c r="F5" s="68" t="s">
        <v>1257</v>
      </c>
      <c r="G5" s="68"/>
    </row>
    <row r="6" spans="1:7" ht="57.6" x14ac:dyDescent="0.3">
      <c r="A6" s="38" t="s">
        <v>38</v>
      </c>
      <c r="B6" s="20" t="s">
        <v>39</v>
      </c>
      <c r="C6" s="49" t="s">
        <v>52</v>
      </c>
      <c r="D6" s="27" t="s">
        <v>1176</v>
      </c>
      <c r="E6" s="68" t="s">
        <v>1313</v>
      </c>
      <c r="F6" s="68" t="s">
        <v>1257</v>
      </c>
      <c r="G6" s="68"/>
    </row>
    <row r="7" spans="1:7" ht="72" x14ac:dyDescent="0.3">
      <c r="A7" s="38" t="s">
        <v>38</v>
      </c>
      <c r="B7" s="20" t="s">
        <v>39</v>
      </c>
      <c r="C7" s="49" t="s">
        <v>53</v>
      </c>
      <c r="D7" s="27" t="s">
        <v>45</v>
      </c>
      <c r="E7" s="68" t="s">
        <v>1314</v>
      </c>
      <c r="F7" s="14" t="s">
        <v>50</v>
      </c>
      <c r="G7" s="68" t="s">
        <v>51</v>
      </c>
    </row>
    <row r="8" spans="1:7" ht="43.2" x14ac:dyDescent="0.3">
      <c r="A8" s="38" t="s">
        <v>38</v>
      </c>
      <c r="B8" s="20" t="s">
        <v>39</v>
      </c>
      <c r="C8" s="49" t="s">
        <v>55</v>
      </c>
      <c r="D8" s="27" t="s">
        <v>1176</v>
      </c>
      <c r="E8" s="68" t="s">
        <v>1315</v>
      </c>
      <c r="F8" s="14" t="s">
        <v>50</v>
      </c>
      <c r="G8" s="68" t="s">
        <v>51</v>
      </c>
    </row>
    <row r="9" spans="1:7" ht="43.2" x14ac:dyDescent="0.3">
      <c r="A9" s="38" t="s">
        <v>38</v>
      </c>
      <c r="B9" s="20" t="s">
        <v>39</v>
      </c>
      <c r="C9" s="49" t="s">
        <v>56</v>
      </c>
      <c r="D9" s="27" t="s">
        <v>45</v>
      </c>
      <c r="E9" s="68" t="s">
        <v>1316</v>
      </c>
      <c r="F9" s="68" t="s">
        <v>54</v>
      </c>
      <c r="G9" s="68"/>
    </row>
    <row r="10" spans="1:7" ht="43.2" x14ac:dyDescent="0.3">
      <c r="A10" s="38" t="s">
        <v>38</v>
      </c>
      <c r="B10" s="20" t="s">
        <v>39</v>
      </c>
      <c r="C10" s="49" t="s">
        <v>57</v>
      </c>
      <c r="D10" s="27" t="s">
        <v>1176</v>
      </c>
      <c r="E10" s="68" t="s">
        <v>1317</v>
      </c>
      <c r="F10" s="68" t="s">
        <v>54</v>
      </c>
      <c r="G10" s="68"/>
    </row>
    <row r="11" spans="1:7" ht="72" x14ac:dyDescent="0.3">
      <c r="A11" s="38" t="s">
        <v>38</v>
      </c>
      <c r="B11" s="20" t="s">
        <v>39</v>
      </c>
      <c r="C11" s="49" t="s">
        <v>59</v>
      </c>
      <c r="D11" s="27" t="s">
        <v>45</v>
      </c>
      <c r="E11" s="68" t="s">
        <v>1318</v>
      </c>
      <c r="F11" s="68" t="s">
        <v>1258</v>
      </c>
      <c r="G11" s="68"/>
    </row>
    <row r="12" spans="1:7" ht="57.6" x14ac:dyDescent="0.3">
      <c r="A12" s="38" t="s">
        <v>38</v>
      </c>
      <c r="B12" s="20" t="s">
        <v>39</v>
      </c>
      <c r="C12" s="49" t="s">
        <v>62</v>
      </c>
      <c r="D12" s="27" t="s">
        <v>1176</v>
      </c>
      <c r="E12" s="68" t="s">
        <v>1319</v>
      </c>
      <c r="F12" s="68" t="s">
        <v>1258</v>
      </c>
      <c r="G12" s="68" t="s">
        <v>58</v>
      </c>
    </row>
    <row r="13" spans="1:7" ht="57.6" x14ac:dyDescent="0.3">
      <c r="A13" s="38" t="s">
        <v>38</v>
      </c>
      <c r="B13" s="20" t="s">
        <v>39</v>
      </c>
      <c r="C13" s="49" t="s">
        <v>64</v>
      </c>
      <c r="D13" s="27" t="s">
        <v>45</v>
      </c>
      <c r="E13" s="14" t="s">
        <v>60</v>
      </c>
      <c r="F13" s="14" t="s">
        <v>61</v>
      </c>
      <c r="G13" s="68"/>
    </row>
    <row r="14" spans="1:7" ht="43.2" x14ac:dyDescent="0.3">
      <c r="A14" s="38" t="s">
        <v>38</v>
      </c>
      <c r="B14" s="20" t="s">
        <v>39</v>
      </c>
      <c r="C14" s="49" t="s">
        <v>67</v>
      </c>
      <c r="D14" s="27" t="s">
        <v>1176</v>
      </c>
      <c r="E14" s="14" t="s">
        <v>63</v>
      </c>
      <c r="F14" s="14" t="s">
        <v>61</v>
      </c>
      <c r="G14" s="68"/>
    </row>
    <row r="15" spans="1:7" ht="57.6" x14ac:dyDescent="0.3">
      <c r="A15" s="38" t="s">
        <v>38</v>
      </c>
      <c r="B15" s="20" t="s">
        <v>39</v>
      </c>
      <c r="C15" s="49" t="s">
        <v>69</v>
      </c>
      <c r="D15" s="27" t="s">
        <v>45</v>
      </c>
      <c r="E15" s="14" t="s">
        <v>65</v>
      </c>
      <c r="F15" s="14" t="s">
        <v>66</v>
      </c>
      <c r="G15" s="68"/>
    </row>
    <row r="16" spans="1:7" ht="43.2" x14ac:dyDescent="0.3">
      <c r="A16" s="38" t="s">
        <v>38</v>
      </c>
      <c r="B16" s="20" t="s">
        <v>39</v>
      </c>
      <c r="C16" s="49" t="s">
        <v>72</v>
      </c>
      <c r="D16" s="27" t="s">
        <v>1176</v>
      </c>
      <c r="E16" s="14" t="s">
        <v>68</v>
      </c>
      <c r="F16" s="14" t="s">
        <v>66</v>
      </c>
      <c r="G16" s="68"/>
    </row>
    <row r="17" spans="1:7" ht="43.2" x14ac:dyDescent="0.3">
      <c r="A17" s="38" t="s">
        <v>38</v>
      </c>
      <c r="B17" s="20" t="s">
        <v>39</v>
      </c>
      <c r="C17" s="49" t="s">
        <v>74</v>
      </c>
      <c r="D17" s="27" t="s">
        <v>45</v>
      </c>
      <c r="E17" s="14" t="s">
        <v>70</v>
      </c>
      <c r="F17" s="14" t="s">
        <v>71</v>
      </c>
      <c r="G17" s="68"/>
    </row>
    <row r="18" spans="1:7" ht="43.2" x14ac:dyDescent="0.3">
      <c r="A18" s="38" t="s">
        <v>38</v>
      </c>
      <c r="B18" s="20" t="s">
        <v>39</v>
      </c>
      <c r="C18" s="49" t="s">
        <v>77</v>
      </c>
      <c r="D18" s="27" t="s">
        <v>1176</v>
      </c>
      <c r="E18" s="14" t="s">
        <v>73</v>
      </c>
      <c r="F18" s="14" t="s">
        <v>71</v>
      </c>
      <c r="G18" s="68"/>
    </row>
    <row r="19" spans="1:7" ht="72" x14ac:dyDescent="0.3">
      <c r="A19" s="38" t="s">
        <v>38</v>
      </c>
      <c r="B19" s="20" t="s">
        <v>39</v>
      </c>
      <c r="C19" s="49" t="s">
        <v>81</v>
      </c>
      <c r="D19" s="27" t="s">
        <v>41</v>
      </c>
      <c r="E19" s="14" t="s">
        <v>75</v>
      </c>
      <c r="F19" s="68" t="s">
        <v>76</v>
      </c>
      <c r="G19" s="68"/>
    </row>
    <row r="20" spans="1:7" ht="86.4" x14ac:dyDescent="0.3">
      <c r="A20" s="38" t="s">
        <v>38</v>
      </c>
      <c r="B20" s="20" t="s">
        <v>39</v>
      </c>
      <c r="C20" s="49" t="s">
        <v>83</v>
      </c>
      <c r="D20" s="27" t="s">
        <v>41</v>
      </c>
      <c r="E20" s="14" t="s">
        <v>78</v>
      </c>
      <c r="F20" s="14" t="s">
        <v>79</v>
      </c>
      <c r="G20" s="68"/>
    </row>
    <row r="21" spans="1:7" ht="72" x14ac:dyDescent="0.3">
      <c r="A21" s="38" t="s">
        <v>38</v>
      </c>
      <c r="B21" s="20" t="s">
        <v>39</v>
      </c>
      <c r="C21" s="49" t="s">
        <v>1152</v>
      </c>
      <c r="D21" s="27" t="s">
        <v>45</v>
      </c>
      <c r="E21" s="68" t="s">
        <v>1320</v>
      </c>
      <c r="F21" s="68" t="s">
        <v>1241</v>
      </c>
      <c r="G21" s="68" t="s">
        <v>51</v>
      </c>
    </row>
    <row r="22" spans="1:7" ht="43.2" x14ac:dyDescent="0.3">
      <c r="A22" s="38" t="s">
        <v>38</v>
      </c>
      <c r="B22" s="20" t="s">
        <v>39</v>
      </c>
      <c r="C22" s="49" t="s">
        <v>1153</v>
      </c>
      <c r="D22" s="27" t="s">
        <v>1176</v>
      </c>
      <c r="E22" s="14" t="s">
        <v>80</v>
      </c>
      <c r="F22" s="68" t="s">
        <v>1241</v>
      </c>
      <c r="G22" s="68"/>
    </row>
    <row r="23" spans="1:7" ht="43.2" x14ac:dyDescent="0.3">
      <c r="A23" s="38" t="s">
        <v>38</v>
      </c>
      <c r="B23" s="20" t="s">
        <v>39</v>
      </c>
      <c r="C23" s="49" t="s">
        <v>85</v>
      </c>
      <c r="D23" s="27" t="s">
        <v>45</v>
      </c>
      <c r="E23" s="14" t="s">
        <v>82</v>
      </c>
      <c r="F23" s="14" t="s">
        <v>71</v>
      </c>
      <c r="G23" s="68"/>
    </row>
    <row r="24" spans="1:7" ht="43.2" x14ac:dyDescent="0.3">
      <c r="A24" s="38" t="s">
        <v>38</v>
      </c>
      <c r="B24" s="20" t="s">
        <v>39</v>
      </c>
      <c r="C24" s="49" t="s">
        <v>87</v>
      </c>
      <c r="D24" s="27" t="s">
        <v>1176</v>
      </c>
      <c r="E24" s="14" t="s">
        <v>84</v>
      </c>
      <c r="F24" s="14" t="s">
        <v>71</v>
      </c>
      <c r="G24" s="68"/>
    </row>
    <row r="25" spans="1:7" ht="43.2" x14ac:dyDescent="0.3">
      <c r="A25" s="38" t="s">
        <v>38</v>
      </c>
      <c r="B25" s="20" t="s">
        <v>39</v>
      </c>
      <c r="C25" s="49" t="s">
        <v>91</v>
      </c>
      <c r="D25" s="27" t="s">
        <v>41</v>
      </c>
      <c r="E25" s="14" t="s">
        <v>86</v>
      </c>
      <c r="F25" s="14" t="s">
        <v>71</v>
      </c>
      <c r="G25" s="68"/>
    </row>
    <row r="26" spans="1:7" ht="43.2" x14ac:dyDescent="0.3">
      <c r="A26" s="38" t="s">
        <v>38</v>
      </c>
      <c r="B26" s="20" t="s">
        <v>39</v>
      </c>
      <c r="C26" s="49" t="s">
        <v>94</v>
      </c>
      <c r="D26" s="27" t="s">
        <v>45</v>
      </c>
      <c r="E26" s="14" t="s">
        <v>88</v>
      </c>
      <c r="F26" s="14" t="s">
        <v>89</v>
      </c>
      <c r="G26" s="68" t="s">
        <v>51</v>
      </c>
    </row>
    <row r="27" spans="1:7" ht="43.2" x14ac:dyDescent="0.3">
      <c r="A27" s="38" t="s">
        <v>38</v>
      </c>
      <c r="B27" s="20" t="s">
        <v>39</v>
      </c>
      <c r="C27" s="49" t="s">
        <v>97</v>
      </c>
      <c r="D27" s="27" t="s">
        <v>1176</v>
      </c>
      <c r="E27" s="14" t="s">
        <v>90</v>
      </c>
      <c r="F27" s="14" t="s">
        <v>89</v>
      </c>
      <c r="G27" s="68" t="s">
        <v>51</v>
      </c>
    </row>
    <row r="28" spans="1:7" ht="43.2" x14ac:dyDescent="0.3">
      <c r="A28" s="38" t="s">
        <v>38</v>
      </c>
      <c r="B28" s="20" t="s">
        <v>39</v>
      </c>
      <c r="C28" s="49" t="s">
        <v>99</v>
      </c>
      <c r="D28" s="27" t="s">
        <v>41</v>
      </c>
      <c r="E28" s="14" t="s">
        <v>92</v>
      </c>
      <c r="F28" s="68" t="s">
        <v>93</v>
      </c>
      <c r="G28" s="68" t="s">
        <v>51</v>
      </c>
    </row>
    <row r="29" spans="1:7" ht="57.6" x14ac:dyDescent="0.3">
      <c r="A29" s="38" t="s">
        <v>38</v>
      </c>
      <c r="B29" s="20" t="s">
        <v>39</v>
      </c>
      <c r="C29" s="49" t="s">
        <v>102</v>
      </c>
      <c r="D29" s="27" t="s">
        <v>45</v>
      </c>
      <c r="E29" s="14" t="s">
        <v>95</v>
      </c>
      <c r="F29" s="14" t="s">
        <v>96</v>
      </c>
      <c r="G29" s="68"/>
    </row>
    <row r="30" spans="1:7" ht="43.2" x14ac:dyDescent="0.3">
      <c r="A30" s="38" t="s">
        <v>38</v>
      </c>
      <c r="B30" s="20" t="s">
        <v>39</v>
      </c>
      <c r="C30" s="49" t="s">
        <v>103</v>
      </c>
      <c r="D30" s="27" t="s">
        <v>1176</v>
      </c>
      <c r="E30" s="14" t="s">
        <v>98</v>
      </c>
      <c r="F30" s="14" t="s">
        <v>96</v>
      </c>
      <c r="G30" s="68"/>
    </row>
    <row r="31" spans="1:7" ht="57.6" x14ac:dyDescent="0.3">
      <c r="A31" s="38" t="s">
        <v>38</v>
      </c>
      <c r="B31" s="20" t="s">
        <v>39</v>
      </c>
      <c r="C31" s="49" t="s">
        <v>104</v>
      </c>
      <c r="D31" s="27" t="s">
        <v>41</v>
      </c>
      <c r="E31" s="68" t="s">
        <v>1321</v>
      </c>
      <c r="F31" s="68" t="s">
        <v>101</v>
      </c>
      <c r="G31" s="68"/>
    </row>
    <row r="32" spans="1:7" ht="72" x14ac:dyDescent="0.3">
      <c r="A32" s="38" t="s">
        <v>38</v>
      </c>
      <c r="B32" s="20" t="s">
        <v>39</v>
      </c>
      <c r="C32" s="49" t="s">
        <v>105</v>
      </c>
      <c r="D32" s="27" t="s">
        <v>41</v>
      </c>
      <c r="E32" s="68" t="s">
        <v>1322</v>
      </c>
      <c r="F32" s="68" t="s">
        <v>101</v>
      </c>
      <c r="G32" s="68"/>
    </row>
    <row r="33" spans="1:7" ht="86.4" x14ac:dyDescent="0.3">
      <c r="A33" s="38" t="s">
        <v>38</v>
      </c>
      <c r="B33" s="20" t="s">
        <v>39</v>
      </c>
      <c r="C33" s="49" t="s">
        <v>1154</v>
      </c>
      <c r="D33" s="27" t="s">
        <v>45</v>
      </c>
      <c r="E33" s="68" t="s">
        <v>1323</v>
      </c>
      <c r="F33" s="68" t="s">
        <v>1259</v>
      </c>
      <c r="G33" s="68"/>
    </row>
    <row r="34" spans="1:7" ht="72" x14ac:dyDescent="0.3">
      <c r="A34" s="38" t="s">
        <v>38</v>
      </c>
      <c r="B34" s="20" t="s">
        <v>39</v>
      </c>
      <c r="C34" s="49" t="s">
        <v>1155</v>
      </c>
      <c r="D34" s="27" t="s">
        <v>1176</v>
      </c>
      <c r="E34" s="68" t="s">
        <v>1324</v>
      </c>
      <c r="F34" s="68" t="s">
        <v>1259</v>
      </c>
      <c r="G34" s="68"/>
    </row>
    <row r="35" spans="1:7" ht="72" x14ac:dyDescent="0.3">
      <c r="A35" s="38" t="s">
        <v>38</v>
      </c>
      <c r="B35" s="20" t="s">
        <v>39</v>
      </c>
      <c r="C35" s="49" t="s">
        <v>107</v>
      </c>
      <c r="D35" s="27" t="s">
        <v>45</v>
      </c>
      <c r="E35" s="68" t="s">
        <v>1691</v>
      </c>
      <c r="F35" s="14" t="s">
        <v>71</v>
      </c>
      <c r="G35" s="68"/>
    </row>
    <row r="36" spans="1:7" ht="43.2" x14ac:dyDescent="0.3">
      <c r="A36" s="38" t="s">
        <v>38</v>
      </c>
      <c r="B36" s="20" t="s">
        <v>39</v>
      </c>
      <c r="C36" s="49" t="s">
        <v>109</v>
      </c>
      <c r="D36" s="27" t="s">
        <v>1176</v>
      </c>
      <c r="E36" s="14" t="s">
        <v>106</v>
      </c>
      <c r="F36" s="14" t="s">
        <v>71</v>
      </c>
      <c r="G36" s="68"/>
    </row>
    <row r="37" spans="1:7" ht="43.2" x14ac:dyDescent="0.3">
      <c r="A37" s="38" t="s">
        <v>38</v>
      </c>
      <c r="B37" s="20" t="s">
        <v>39</v>
      </c>
      <c r="C37" s="49" t="s">
        <v>112</v>
      </c>
      <c r="D37" s="27" t="s">
        <v>41</v>
      </c>
      <c r="E37" s="14" t="s">
        <v>108</v>
      </c>
      <c r="F37" s="14" t="s">
        <v>71</v>
      </c>
      <c r="G37" s="68"/>
    </row>
    <row r="38" spans="1:7" ht="43.2" x14ac:dyDescent="0.3">
      <c r="A38" s="38" t="s">
        <v>38</v>
      </c>
      <c r="B38" s="20" t="s">
        <v>39</v>
      </c>
      <c r="C38" s="49" t="s">
        <v>114</v>
      </c>
      <c r="D38" s="27" t="s">
        <v>45</v>
      </c>
      <c r="E38" s="14" t="s">
        <v>110</v>
      </c>
      <c r="F38" s="14" t="s">
        <v>71</v>
      </c>
      <c r="G38" s="68"/>
    </row>
    <row r="39" spans="1:7" ht="43.2" x14ac:dyDescent="0.3">
      <c r="A39" s="38" t="s">
        <v>38</v>
      </c>
      <c r="B39" s="20" t="s">
        <v>39</v>
      </c>
      <c r="C39" s="49" t="s">
        <v>1156</v>
      </c>
      <c r="D39" s="27" t="s">
        <v>1176</v>
      </c>
      <c r="E39" s="14" t="s">
        <v>111</v>
      </c>
      <c r="F39" s="14" t="s">
        <v>71</v>
      </c>
      <c r="G39" s="68"/>
    </row>
    <row r="40" spans="1:7" ht="43.2" x14ac:dyDescent="0.3">
      <c r="A40" s="38" t="s">
        <v>38</v>
      </c>
      <c r="B40" s="20" t="s">
        <v>39</v>
      </c>
      <c r="C40" s="49" t="s">
        <v>116</v>
      </c>
      <c r="D40" s="27" t="s">
        <v>45</v>
      </c>
      <c r="E40" s="14" t="s">
        <v>113</v>
      </c>
      <c r="F40" s="14" t="s">
        <v>71</v>
      </c>
      <c r="G40" s="68"/>
    </row>
    <row r="41" spans="1:7" ht="43.2" x14ac:dyDescent="0.3">
      <c r="A41" s="38" t="s">
        <v>38</v>
      </c>
      <c r="B41" s="20" t="s">
        <v>39</v>
      </c>
      <c r="C41" s="49" t="s">
        <v>118</v>
      </c>
      <c r="D41" s="27" t="s">
        <v>1176</v>
      </c>
      <c r="E41" s="14" t="s">
        <v>115</v>
      </c>
      <c r="F41" s="14" t="s">
        <v>71</v>
      </c>
      <c r="G41" s="68"/>
    </row>
    <row r="42" spans="1:7" ht="43.2" x14ac:dyDescent="0.3">
      <c r="A42" s="38" t="s">
        <v>38</v>
      </c>
      <c r="B42" s="20" t="s">
        <v>39</v>
      </c>
      <c r="C42" s="50" t="s">
        <v>1157</v>
      </c>
      <c r="D42" s="27" t="s">
        <v>41</v>
      </c>
      <c r="E42" s="68" t="s">
        <v>1325</v>
      </c>
      <c r="F42" s="20" t="s">
        <v>117</v>
      </c>
      <c r="G42" s="68"/>
    </row>
    <row r="43" spans="1:7" ht="57.6" x14ac:dyDescent="0.3">
      <c r="A43" s="38" t="s">
        <v>38</v>
      </c>
      <c r="B43" s="20" t="s">
        <v>39</v>
      </c>
      <c r="C43" s="50" t="s">
        <v>1158</v>
      </c>
      <c r="D43" s="21" t="s">
        <v>45</v>
      </c>
      <c r="E43" s="104" t="s">
        <v>1326</v>
      </c>
      <c r="F43" s="20" t="s">
        <v>117</v>
      </c>
      <c r="G43" s="104"/>
    </row>
    <row r="44" spans="1:7" ht="58.2" thickBot="1" x14ac:dyDescent="0.35">
      <c r="A44" s="63" t="s">
        <v>38</v>
      </c>
      <c r="B44" s="64" t="s">
        <v>39</v>
      </c>
      <c r="C44" s="69" t="s">
        <v>1159</v>
      </c>
      <c r="D44" s="70" t="s">
        <v>1176</v>
      </c>
      <c r="E44" s="105" t="s">
        <v>1327</v>
      </c>
      <c r="F44" s="64" t="s">
        <v>117</v>
      </c>
      <c r="G44" s="105"/>
    </row>
    <row r="45" spans="1:7" ht="43.2" x14ac:dyDescent="0.3">
      <c r="A45" s="40" t="s">
        <v>38</v>
      </c>
      <c r="B45" s="16" t="s">
        <v>119</v>
      </c>
      <c r="C45" s="52" t="s">
        <v>120</v>
      </c>
      <c r="D45" s="26" t="s">
        <v>45</v>
      </c>
      <c r="E45" s="11" t="s">
        <v>121</v>
      </c>
      <c r="F45" s="106" t="s">
        <v>76</v>
      </c>
      <c r="G45" s="106"/>
    </row>
    <row r="46" spans="1:7" ht="43.2" x14ac:dyDescent="0.3">
      <c r="A46" s="38" t="s">
        <v>38</v>
      </c>
      <c r="B46" s="20" t="s">
        <v>119</v>
      </c>
      <c r="C46" s="49" t="s">
        <v>122</v>
      </c>
      <c r="D46" s="27" t="s">
        <v>1176</v>
      </c>
      <c r="E46" s="14" t="s">
        <v>123</v>
      </c>
      <c r="F46" s="68" t="s">
        <v>76</v>
      </c>
      <c r="G46" s="68"/>
    </row>
    <row r="47" spans="1:7" ht="43.2" x14ac:dyDescent="0.3">
      <c r="A47" s="38" t="s">
        <v>38</v>
      </c>
      <c r="B47" s="20" t="s">
        <v>119</v>
      </c>
      <c r="C47" s="49" t="s">
        <v>124</v>
      </c>
      <c r="D47" s="27" t="s">
        <v>45</v>
      </c>
      <c r="E47" s="14" t="s">
        <v>125</v>
      </c>
      <c r="F47" s="68" t="s">
        <v>100</v>
      </c>
      <c r="G47" s="68"/>
    </row>
    <row r="48" spans="1:7" ht="43.2" x14ac:dyDescent="0.3">
      <c r="A48" s="38" t="s">
        <v>38</v>
      </c>
      <c r="B48" s="20" t="s">
        <v>119</v>
      </c>
      <c r="C48" s="49" t="s">
        <v>127</v>
      </c>
      <c r="D48" s="27" t="s">
        <v>1176</v>
      </c>
      <c r="E48" s="14" t="s">
        <v>128</v>
      </c>
      <c r="F48" s="68" t="s">
        <v>1260</v>
      </c>
      <c r="G48" s="68"/>
    </row>
    <row r="49" spans="1:7" ht="57.6" x14ac:dyDescent="0.3">
      <c r="A49" s="38" t="s">
        <v>38</v>
      </c>
      <c r="B49" s="20" t="s">
        <v>119</v>
      </c>
      <c r="C49" s="49" t="s">
        <v>129</v>
      </c>
      <c r="D49" s="27" t="s">
        <v>45</v>
      </c>
      <c r="E49" s="68" t="s">
        <v>1692</v>
      </c>
      <c r="F49" s="68" t="s">
        <v>101</v>
      </c>
      <c r="G49" s="68"/>
    </row>
    <row r="50" spans="1:7" ht="43.2" x14ac:dyDescent="0.3">
      <c r="A50" s="38" t="s">
        <v>38</v>
      </c>
      <c r="B50" s="20" t="s">
        <v>119</v>
      </c>
      <c r="C50" s="49" t="s">
        <v>130</v>
      </c>
      <c r="D50" s="27" t="s">
        <v>1176</v>
      </c>
      <c r="E50" s="14" t="s">
        <v>131</v>
      </c>
      <c r="F50" s="68" t="s">
        <v>101</v>
      </c>
      <c r="G50" s="68"/>
    </row>
    <row r="51" spans="1:7" ht="57.6" x14ac:dyDescent="0.3">
      <c r="A51" s="38" t="s">
        <v>38</v>
      </c>
      <c r="B51" s="20" t="s">
        <v>119</v>
      </c>
      <c r="C51" s="49" t="s">
        <v>132</v>
      </c>
      <c r="D51" s="27" t="s">
        <v>45</v>
      </c>
      <c r="E51" s="68" t="s">
        <v>1328</v>
      </c>
      <c r="F51" s="14" t="s">
        <v>133</v>
      </c>
      <c r="G51" s="68"/>
    </row>
    <row r="52" spans="1:7" ht="57.6" x14ac:dyDescent="0.3">
      <c r="A52" s="38" t="s">
        <v>38</v>
      </c>
      <c r="B52" s="20" t="s">
        <v>119</v>
      </c>
      <c r="C52" s="49" t="s">
        <v>134</v>
      </c>
      <c r="D52" s="27" t="s">
        <v>1176</v>
      </c>
      <c r="E52" s="68" t="s">
        <v>1329</v>
      </c>
      <c r="F52" s="14" t="s">
        <v>133</v>
      </c>
      <c r="G52" s="68"/>
    </row>
    <row r="53" spans="1:7" ht="43.2" x14ac:dyDescent="0.3">
      <c r="A53" s="38" t="s">
        <v>38</v>
      </c>
      <c r="B53" s="20" t="s">
        <v>119</v>
      </c>
      <c r="C53" s="49" t="s">
        <v>135</v>
      </c>
      <c r="D53" s="27" t="s">
        <v>45</v>
      </c>
      <c r="E53" s="14" t="s">
        <v>136</v>
      </c>
      <c r="F53" s="68" t="s">
        <v>126</v>
      </c>
      <c r="G53" s="68"/>
    </row>
    <row r="54" spans="1:7" ht="43.2" x14ac:dyDescent="0.3">
      <c r="A54" s="38" t="s">
        <v>38</v>
      </c>
      <c r="B54" s="20" t="s">
        <v>119</v>
      </c>
      <c r="C54" s="49" t="s">
        <v>137</v>
      </c>
      <c r="D54" s="27" t="s">
        <v>1176</v>
      </c>
      <c r="E54" s="14" t="s">
        <v>138</v>
      </c>
      <c r="F54" s="68" t="s">
        <v>126</v>
      </c>
      <c r="G54" s="68"/>
    </row>
    <row r="55" spans="1:7" ht="43.2" x14ac:dyDescent="0.3">
      <c r="A55" s="38" t="s">
        <v>38</v>
      </c>
      <c r="B55" s="20" t="s">
        <v>119</v>
      </c>
      <c r="C55" s="49" t="s">
        <v>139</v>
      </c>
      <c r="D55" s="27" t="s">
        <v>45</v>
      </c>
      <c r="E55" s="14" t="s">
        <v>140</v>
      </c>
      <c r="F55" s="68" t="s">
        <v>141</v>
      </c>
      <c r="G55" s="68"/>
    </row>
    <row r="56" spans="1:7" ht="43.2" x14ac:dyDescent="0.3">
      <c r="A56" s="38" t="s">
        <v>38</v>
      </c>
      <c r="B56" s="20" t="s">
        <v>119</v>
      </c>
      <c r="C56" s="49" t="s">
        <v>142</v>
      </c>
      <c r="D56" s="27" t="s">
        <v>1176</v>
      </c>
      <c r="E56" s="14" t="s">
        <v>143</v>
      </c>
      <c r="F56" s="68" t="s">
        <v>144</v>
      </c>
      <c r="G56" s="68"/>
    </row>
    <row r="57" spans="1:7" ht="57.6" x14ac:dyDescent="0.3">
      <c r="A57" s="38" t="s">
        <v>38</v>
      </c>
      <c r="B57" s="20" t="s">
        <v>119</v>
      </c>
      <c r="C57" s="49" t="s">
        <v>145</v>
      </c>
      <c r="D57" s="27" t="s">
        <v>45</v>
      </c>
      <c r="E57" s="14" t="s">
        <v>146</v>
      </c>
      <c r="F57" s="68" t="s">
        <v>1261</v>
      </c>
      <c r="G57" s="68"/>
    </row>
    <row r="58" spans="1:7" ht="43.2" x14ac:dyDescent="0.3">
      <c r="A58" s="38" t="s">
        <v>38</v>
      </c>
      <c r="B58" s="20" t="s">
        <v>119</v>
      </c>
      <c r="C58" s="49" t="s">
        <v>147</v>
      </c>
      <c r="D58" s="27" t="s">
        <v>1176</v>
      </c>
      <c r="E58" s="14" t="s">
        <v>148</v>
      </c>
      <c r="F58" s="68" t="s">
        <v>1261</v>
      </c>
      <c r="G58" s="68"/>
    </row>
    <row r="59" spans="1:7" ht="57.6" x14ac:dyDescent="0.3">
      <c r="A59" s="38" t="s">
        <v>38</v>
      </c>
      <c r="B59" s="20" t="s">
        <v>119</v>
      </c>
      <c r="C59" s="49" t="s">
        <v>149</v>
      </c>
      <c r="D59" s="27" t="s">
        <v>45</v>
      </c>
      <c r="E59" s="14" t="s">
        <v>150</v>
      </c>
      <c r="F59" s="68" t="s">
        <v>1262</v>
      </c>
      <c r="G59" s="68"/>
    </row>
    <row r="60" spans="1:7" ht="43.2" x14ac:dyDescent="0.3">
      <c r="A60" s="38" t="s">
        <v>38</v>
      </c>
      <c r="B60" s="20" t="s">
        <v>119</v>
      </c>
      <c r="C60" s="49" t="s">
        <v>151</v>
      </c>
      <c r="D60" s="27" t="s">
        <v>1176</v>
      </c>
      <c r="E60" s="68" t="s">
        <v>1330</v>
      </c>
      <c r="F60" s="68" t="s">
        <v>1136</v>
      </c>
      <c r="G60" s="68"/>
    </row>
    <row r="61" spans="1:7" ht="57.6" x14ac:dyDescent="0.3">
      <c r="A61" s="38" t="s">
        <v>38</v>
      </c>
      <c r="B61" s="20" t="s">
        <v>119</v>
      </c>
      <c r="C61" s="50" t="s">
        <v>152</v>
      </c>
      <c r="D61" s="27" t="s">
        <v>45</v>
      </c>
      <c r="E61" s="68" t="s">
        <v>1331</v>
      </c>
      <c r="F61" s="14" t="s">
        <v>71</v>
      </c>
      <c r="G61" s="68" t="s">
        <v>153</v>
      </c>
    </row>
    <row r="62" spans="1:7" ht="58.2" thickBot="1" x14ac:dyDescent="0.35">
      <c r="A62" s="63" t="s">
        <v>38</v>
      </c>
      <c r="B62" s="64" t="s">
        <v>119</v>
      </c>
      <c r="C62" s="69" t="s">
        <v>154</v>
      </c>
      <c r="D62" s="66" t="s">
        <v>1176</v>
      </c>
      <c r="E62" s="107" t="s">
        <v>1332</v>
      </c>
      <c r="F62" s="107" t="s">
        <v>1242</v>
      </c>
      <c r="G62" s="107" t="s">
        <v>153</v>
      </c>
    </row>
    <row r="63" spans="1:7" ht="57.6" x14ac:dyDescent="0.3">
      <c r="A63" s="40" t="s">
        <v>155</v>
      </c>
      <c r="B63" s="16" t="s">
        <v>156</v>
      </c>
      <c r="C63" s="52" t="s">
        <v>157</v>
      </c>
      <c r="D63" s="26" t="s">
        <v>41</v>
      </c>
      <c r="E63" s="11" t="s">
        <v>158</v>
      </c>
      <c r="F63" s="11" t="s">
        <v>159</v>
      </c>
      <c r="G63" s="106"/>
    </row>
    <row r="64" spans="1:7" ht="72" x14ac:dyDescent="0.3">
      <c r="A64" s="38" t="s">
        <v>155</v>
      </c>
      <c r="B64" s="20" t="s">
        <v>156</v>
      </c>
      <c r="C64" s="49" t="s">
        <v>160</v>
      </c>
      <c r="D64" s="27" t="s">
        <v>45</v>
      </c>
      <c r="E64" s="14" t="s">
        <v>161</v>
      </c>
      <c r="F64" s="14" t="s">
        <v>159</v>
      </c>
      <c r="G64" s="68"/>
    </row>
    <row r="65" spans="1:7" ht="57.6" x14ac:dyDescent="0.3">
      <c r="A65" s="38" t="s">
        <v>155</v>
      </c>
      <c r="B65" s="20" t="s">
        <v>156</v>
      </c>
      <c r="C65" s="49" t="s">
        <v>162</v>
      </c>
      <c r="D65" s="27" t="s">
        <v>1176</v>
      </c>
      <c r="E65" s="14" t="s">
        <v>163</v>
      </c>
      <c r="F65" s="14" t="s">
        <v>159</v>
      </c>
      <c r="G65" s="68"/>
    </row>
    <row r="66" spans="1:7" ht="57.6" x14ac:dyDescent="0.3">
      <c r="A66" s="38" t="s">
        <v>155</v>
      </c>
      <c r="B66" s="20" t="s">
        <v>156</v>
      </c>
      <c r="C66" s="49" t="s">
        <v>164</v>
      </c>
      <c r="D66" s="27" t="s">
        <v>41</v>
      </c>
      <c r="E66" s="14" t="s">
        <v>165</v>
      </c>
      <c r="F66" s="14" t="s">
        <v>166</v>
      </c>
      <c r="G66" s="68"/>
    </row>
    <row r="67" spans="1:7" ht="57.6" x14ac:dyDescent="0.3">
      <c r="A67" s="38" t="s">
        <v>155</v>
      </c>
      <c r="B67" s="20" t="s">
        <v>156</v>
      </c>
      <c r="C67" s="49" t="s">
        <v>167</v>
      </c>
      <c r="D67" s="27" t="s">
        <v>45</v>
      </c>
      <c r="E67" s="14" t="s">
        <v>168</v>
      </c>
      <c r="F67" s="14" t="s">
        <v>166</v>
      </c>
      <c r="G67" s="68"/>
    </row>
    <row r="68" spans="1:7" ht="57.6" x14ac:dyDescent="0.3">
      <c r="A68" s="38" t="s">
        <v>155</v>
      </c>
      <c r="B68" s="20" t="s">
        <v>156</v>
      </c>
      <c r="C68" s="49" t="s">
        <v>169</v>
      </c>
      <c r="D68" s="27" t="s">
        <v>1176</v>
      </c>
      <c r="E68" s="14" t="s">
        <v>170</v>
      </c>
      <c r="F68" s="14" t="s">
        <v>166</v>
      </c>
      <c r="G68" s="68"/>
    </row>
    <row r="69" spans="1:7" ht="43.2" x14ac:dyDescent="0.3">
      <c r="A69" s="38" t="s">
        <v>155</v>
      </c>
      <c r="B69" s="20" t="s">
        <v>156</v>
      </c>
      <c r="C69" s="49" t="s">
        <v>171</v>
      </c>
      <c r="D69" s="27" t="s">
        <v>41</v>
      </c>
      <c r="E69" s="14" t="s">
        <v>172</v>
      </c>
      <c r="F69" s="68" t="s">
        <v>1263</v>
      </c>
      <c r="G69" s="68" t="s">
        <v>51</v>
      </c>
    </row>
    <row r="70" spans="1:7" ht="72" x14ac:dyDescent="0.3">
      <c r="A70" s="38" t="s">
        <v>155</v>
      </c>
      <c r="B70" s="20" t="s">
        <v>156</v>
      </c>
      <c r="C70" s="49" t="s">
        <v>173</v>
      </c>
      <c r="D70" s="27" t="s">
        <v>41</v>
      </c>
      <c r="E70" s="68" t="s">
        <v>1333</v>
      </c>
      <c r="F70" s="68" t="s">
        <v>1264</v>
      </c>
      <c r="G70" s="68"/>
    </row>
    <row r="71" spans="1:7" ht="57.6" x14ac:dyDescent="0.3">
      <c r="A71" s="38" t="s">
        <v>155</v>
      </c>
      <c r="B71" s="20" t="s">
        <v>156</v>
      </c>
      <c r="C71" s="49" t="s">
        <v>174</v>
      </c>
      <c r="D71" s="27" t="s">
        <v>45</v>
      </c>
      <c r="E71" s="14" t="s">
        <v>175</v>
      </c>
      <c r="F71" s="68" t="s">
        <v>1265</v>
      </c>
      <c r="G71" s="68"/>
    </row>
    <row r="72" spans="1:7" ht="57.6" x14ac:dyDescent="0.3">
      <c r="A72" s="38" t="s">
        <v>155</v>
      </c>
      <c r="B72" s="20" t="s">
        <v>156</v>
      </c>
      <c r="C72" s="49" t="s">
        <v>176</v>
      </c>
      <c r="D72" s="27" t="s">
        <v>1176</v>
      </c>
      <c r="E72" s="14" t="s">
        <v>177</v>
      </c>
      <c r="F72" s="68" t="s">
        <v>1265</v>
      </c>
      <c r="G72" s="68"/>
    </row>
    <row r="73" spans="1:7" ht="43.2" x14ac:dyDescent="0.3">
      <c r="A73" s="38" t="s">
        <v>155</v>
      </c>
      <c r="B73" s="20" t="s">
        <v>156</v>
      </c>
      <c r="C73" s="49" t="s">
        <v>178</v>
      </c>
      <c r="D73" s="27" t="s">
        <v>1176</v>
      </c>
      <c r="E73" s="14" t="s">
        <v>179</v>
      </c>
      <c r="F73" s="14" t="s">
        <v>71</v>
      </c>
      <c r="G73" s="68"/>
    </row>
    <row r="74" spans="1:7" ht="43.2" x14ac:dyDescent="0.3">
      <c r="A74" s="38" t="s">
        <v>155</v>
      </c>
      <c r="B74" s="20" t="s">
        <v>156</v>
      </c>
      <c r="C74" s="49" t="s">
        <v>180</v>
      </c>
      <c r="D74" s="27" t="s">
        <v>41</v>
      </c>
      <c r="E74" s="68" t="s">
        <v>1334</v>
      </c>
      <c r="F74" s="14" t="s">
        <v>71</v>
      </c>
      <c r="G74" s="68"/>
    </row>
    <row r="75" spans="1:7" ht="57.6" x14ac:dyDescent="0.3">
      <c r="A75" s="38" t="s">
        <v>155</v>
      </c>
      <c r="B75" s="20" t="s">
        <v>156</v>
      </c>
      <c r="C75" s="49" t="s">
        <v>181</v>
      </c>
      <c r="D75" s="27" t="s">
        <v>45</v>
      </c>
      <c r="E75" s="68" t="s">
        <v>1335</v>
      </c>
      <c r="F75" s="14" t="s">
        <v>71</v>
      </c>
      <c r="G75" s="68"/>
    </row>
    <row r="76" spans="1:7" ht="57.6" x14ac:dyDescent="0.3">
      <c r="A76" s="38" t="s">
        <v>155</v>
      </c>
      <c r="B76" s="20" t="s">
        <v>156</v>
      </c>
      <c r="C76" s="49" t="s">
        <v>182</v>
      </c>
      <c r="D76" s="27" t="s">
        <v>1176</v>
      </c>
      <c r="E76" s="68" t="s">
        <v>1336</v>
      </c>
      <c r="F76" s="14" t="s">
        <v>71</v>
      </c>
      <c r="G76" s="68"/>
    </row>
    <row r="77" spans="1:7" ht="57.6" x14ac:dyDescent="0.3">
      <c r="A77" s="38" t="s">
        <v>155</v>
      </c>
      <c r="B77" s="20" t="s">
        <v>156</v>
      </c>
      <c r="C77" s="49" t="s">
        <v>183</v>
      </c>
      <c r="D77" s="27" t="s">
        <v>41</v>
      </c>
      <c r="E77" s="68" t="s">
        <v>1337</v>
      </c>
      <c r="F77" s="14" t="s">
        <v>184</v>
      </c>
      <c r="G77" s="68"/>
    </row>
    <row r="78" spans="1:7" ht="57.6" x14ac:dyDescent="0.3">
      <c r="A78" s="38" t="s">
        <v>155</v>
      </c>
      <c r="B78" s="20" t="s">
        <v>156</v>
      </c>
      <c r="C78" s="50" t="s">
        <v>185</v>
      </c>
      <c r="D78" s="27" t="s">
        <v>45</v>
      </c>
      <c r="E78" s="68" t="s">
        <v>1338</v>
      </c>
      <c r="F78" s="14" t="s">
        <v>184</v>
      </c>
      <c r="G78" s="68"/>
    </row>
    <row r="79" spans="1:7" ht="72.599999999999994" thickBot="1" x14ac:dyDescent="0.35">
      <c r="A79" s="39" t="s">
        <v>155</v>
      </c>
      <c r="B79" s="22" t="s">
        <v>156</v>
      </c>
      <c r="C79" s="51" t="s">
        <v>186</v>
      </c>
      <c r="D79" s="17" t="s">
        <v>1176</v>
      </c>
      <c r="E79" s="108" t="s">
        <v>1339</v>
      </c>
      <c r="F79" s="19" t="s">
        <v>184</v>
      </c>
      <c r="G79" s="108"/>
    </row>
    <row r="80" spans="1:7" ht="43.8" thickTop="1" x14ac:dyDescent="0.3">
      <c r="A80" s="40" t="s">
        <v>155</v>
      </c>
      <c r="B80" s="16" t="s">
        <v>187</v>
      </c>
      <c r="C80" s="52" t="s">
        <v>188</v>
      </c>
      <c r="D80" s="26" t="s">
        <v>41</v>
      </c>
      <c r="E80" s="11" t="s">
        <v>189</v>
      </c>
      <c r="F80" s="11" t="s">
        <v>190</v>
      </c>
      <c r="G80" s="106"/>
    </row>
    <row r="81" spans="1:7" ht="43.2" x14ac:dyDescent="0.3">
      <c r="A81" s="38" t="s">
        <v>155</v>
      </c>
      <c r="B81" s="20" t="s">
        <v>187</v>
      </c>
      <c r="C81" s="49" t="s">
        <v>191</v>
      </c>
      <c r="D81" s="27" t="s">
        <v>45</v>
      </c>
      <c r="E81" s="14" t="s">
        <v>192</v>
      </c>
      <c r="F81" s="14" t="s">
        <v>190</v>
      </c>
      <c r="G81" s="68"/>
    </row>
    <row r="82" spans="1:7" ht="43.2" x14ac:dyDescent="0.3">
      <c r="A82" s="38" t="s">
        <v>155</v>
      </c>
      <c r="B82" s="20" t="s">
        <v>187</v>
      </c>
      <c r="C82" s="49" t="s">
        <v>193</v>
      </c>
      <c r="D82" s="27" t="s">
        <v>1176</v>
      </c>
      <c r="E82" s="14" t="s">
        <v>194</v>
      </c>
      <c r="F82" s="14" t="s">
        <v>190</v>
      </c>
      <c r="G82" s="68"/>
    </row>
    <row r="83" spans="1:7" ht="43.2" x14ac:dyDescent="0.3">
      <c r="A83" s="38" t="s">
        <v>155</v>
      </c>
      <c r="B83" s="20" t="s">
        <v>187</v>
      </c>
      <c r="C83" s="49" t="s">
        <v>195</v>
      </c>
      <c r="D83" s="27" t="s">
        <v>1176</v>
      </c>
      <c r="E83" s="14" t="s">
        <v>196</v>
      </c>
      <c r="F83" s="14" t="s">
        <v>190</v>
      </c>
      <c r="G83" s="68"/>
    </row>
    <row r="84" spans="1:7" ht="57.6" x14ac:dyDescent="0.3">
      <c r="A84" s="38" t="s">
        <v>155</v>
      </c>
      <c r="B84" s="20" t="s">
        <v>187</v>
      </c>
      <c r="C84" s="49" t="s">
        <v>197</v>
      </c>
      <c r="D84" s="27" t="s">
        <v>45</v>
      </c>
      <c r="E84" s="14" t="s">
        <v>198</v>
      </c>
      <c r="F84" s="14" t="s">
        <v>199</v>
      </c>
      <c r="G84" s="68"/>
    </row>
    <row r="85" spans="1:7" ht="43.2" x14ac:dyDescent="0.3">
      <c r="A85" s="38" t="s">
        <v>155</v>
      </c>
      <c r="B85" s="20" t="s">
        <v>187</v>
      </c>
      <c r="C85" s="49" t="s">
        <v>200</v>
      </c>
      <c r="D85" s="27" t="s">
        <v>1176</v>
      </c>
      <c r="E85" s="14" t="s">
        <v>201</v>
      </c>
      <c r="F85" s="14" t="s">
        <v>202</v>
      </c>
      <c r="G85" s="68"/>
    </row>
    <row r="86" spans="1:7" ht="43.2" x14ac:dyDescent="0.3">
      <c r="A86" s="38" t="s">
        <v>155</v>
      </c>
      <c r="B86" s="20" t="s">
        <v>187</v>
      </c>
      <c r="C86" s="49" t="s">
        <v>203</v>
      </c>
      <c r="D86" s="27" t="s">
        <v>45</v>
      </c>
      <c r="E86" s="14" t="s">
        <v>204</v>
      </c>
      <c r="F86" s="68" t="s">
        <v>1266</v>
      </c>
      <c r="G86" s="68"/>
    </row>
    <row r="87" spans="1:7" ht="43.2" x14ac:dyDescent="0.3">
      <c r="A87" s="38" t="s">
        <v>155</v>
      </c>
      <c r="B87" s="20" t="s">
        <v>187</v>
      </c>
      <c r="C87" s="49" t="s">
        <v>205</v>
      </c>
      <c r="D87" s="27" t="s">
        <v>1176</v>
      </c>
      <c r="E87" s="14" t="s">
        <v>206</v>
      </c>
      <c r="F87" s="68" t="s">
        <v>100</v>
      </c>
      <c r="G87" s="68"/>
    </row>
    <row r="88" spans="1:7" ht="57.6" x14ac:dyDescent="0.3">
      <c r="A88" s="38" t="s">
        <v>155</v>
      </c>
      <c r="B88" s="20" t="s">
        <v>187</v>
      </c>
      <c r="C88" s="49" t="s">
        <v>207</v>
      </c>
      <c r="D88" s="27" t="s">
        <v>45</v>
      </c>
      <c r="E88" s="14" t="s">
        <v>208</v>
      </c>
      <c r="F88" s="14" t="s">
        <v>209</v>
      </c>
      <c r="G88" s="68"/>
    </row>
    <row r="89" spans="1:7" ht="43.2" x14ac:dyDescent="0.3">
      <c r="A89" s="38" t="s">
        <v>155</v>
      </c>
      <c r="B89" s="20" t="s">
        <v>187</v>
      </c>
      <c r="C89" s="49" t="s">
        <v>210</v>
      </c>
      <c r="D89" s="27" t="s">
        <v>1176</v>
      </c>
      <c r="E89" s="14" t="s">
        <v>211</v>
      </c>
      <c r="F89" s="14" t="s">
        <v>166</v>
      </c>
      <c r="G89" s="68"/>
    </row>
    <row r="90" spans="1:7" ht="43.2" x14ac:dyDescent="0.3">
      <c r="A90" s="38" t="s">
        <v>155</v>
      </c>
      <c r="B90" s="20" t="s">
        <v>187</v>
      </c>
      <c r="C90" s="49" t="s">
        <v>212</v>
      </c>
      <c r="D90" s="27" t="s">
        <v>45</v>
      </c>
      <c r="E90" s="68" t="s">
        <v>1340</v>
      </c>
      <c r="F90" s="68" t="s">
        <v>1267</v>
      </c>
      <c r="G90" s="68"/>
    </row>
    <row r="91" spans="1:7" ht="43.2" x14ac:dyDescent="0.3">
      <c r="A91" s="38" t="s">
        <v>155</v>
      </c>
      <c r="B91" s="20" t="s">
        <v>187</v>
      </c>
      <c r="C91" s="49" t="s">
        <v>213</v>
      </c>
      <c r="D91" s="27" t="s">
        <v>1176</v>
      </c>
      <c r="E91" s="68" t="s">
        <v>1341</v>
      </c>
      <c r="F91" s="68" t="s">
        <v>1267</v>
      </c>
      <c r="G91" s="68"/>
    </row>
    <row r="92" spans="1:7" ht="72" x14ac:dyDescent="0.3">
      <c r="A92" s="38" t="s">
        <v>155</v>
      </c>
      <c r="B92" s="20" t="s">
        <v>187</v>
      </c>
      <c r="C92" s="49" t="s">
        <v>214</v>
      </c>
      <c r="D92" s="27" t="s">
        <v>41</v>
      </c>
      <c r="E92" s="68" t="s">
        <v>1342</v>
      </c>
      <c r="F92" s="68" t="s">
        <v>1175</v>
      </c>
      <c r="G92" s="68"/>
    </row>
    <row r="93" spans="1:7" ht="72" x14ac:dyDescent="0.3">
      <c r="A93" s="38" t="s">
        <v>155</v>
      </c>
      <c r="B93" s="20" t="s">
        <v>187</v>
      </c>
      <c r="C93" s="49" t="s">
        <v>215</v>
      </c>
      <c r="D93" s="27" t="s">
        <v>41</v>
      </c>
      <c r="E93" s="68" t="s">
        <v>1343</v>
      </c>
      <c r="F93" s="68" t="s">
        <v>101</v>
      </c>
      <c r="G93" s="68"/>
    </row>
    <row r="94" spans="1:7" ht="72" x14ac:dyDescent="0.3">
      <c r="A94" s="38" t="s">
        <v>155</v>
      </c>
      <c r="B94" s="20" t="s">
        <v>187</v>
      </c>
      <c r="C94" s="49" t="s">
        <v>216</v>
      </c>
      <c r="D94" s="27" t="s">
        <v>41</v>
      </c>
      <c r="E94" s="68" t="s">
        <v>1344</v>
      </c>
      <c r="F94" s="68" t="s">
        <v>1268</v>
      </c>
      <c r="G94" s="68"/>
    </row>
    <row r="95" spans="1:7" ht="57.6" x14ac:dyDescent="0.3">
      <c r="A95" s="38" t="s">
        <v>155</v>
      </c>
      <c r="B95" s="20" t="s">
        <v>187</v>
      </c>
      <c r="C95" s="49" t="s">
        <v>217</v>
      </c>
      <c r="D95" s="27" t="s">
        <v>41</v>
      </c>
      <c r="E95" s="68" t="s">
        <v>1345</v>
      </c>
      <c r="F95" s="68" t="s">
        <v>1268</v>
      </c>
      <c r="G95" s="68"/>
    </row>
    <row r="96" spans="1:7" ht="43.2" x14ac:dyDescent="0.3">
      <c r="A96" s="38" t="s">
        <v>155</v>
      </c>
      <c r="B96" s="20" t="s">
        <v>187</v>
      </c>
      <c r="C96" s="49" t="s">
        <v>218</v>
      </c>
      <c r="D96" s="27" t="s">
        <v>45</v>
      </c>
      <c r="E96" s="68" t="s">
        <v>1346</v>
      </c>
      <c r="F96" s="68" t="s">
        <v>1268</v>
      </c>
      <c r="G96" s="68"/>
    </row>
    <row r="97" spans="1:7" ht="43.2" x14ac:dyDescent="0.3">
      <c r="A97" s="38" t="s">
        <v>155</v>
      </c>
      <c r="B97" s="20" t="s">
        <v>187</v>
      </c>
      <c r="C97" s="49" t="s">
        <v>219</v>
      </c>
      <c r="D97" s="27" t="s">
        <v>1176</v>
      </c>
      <c r="E97" s="68" t="s">
        <v>1347</v>
      </c>
      <c r="F97" s="68" t="s">
        <v>1268</v>
      </c>
      <c r="G97" s="68" t="s">
        <v>51</v>
      </c>
    </row>
    <row r="98" spans="1:7" ht="72" x14ac:dyDescent="0.3">
      <c r="A98" s="38" t="s">
        <v>155</v>
      </c>
      <c r="B98" s="20" t="s">
        <v>187</v>
      </c>
      <c r="C98" s="49" t="s">
        <v>220</v>
      </c>
      <c r="D98" s="27" t="s">
        <v>45</v>
      </c>
      <c r="E98" s="68" t="s">
        <v>1693</v>
      </c>
      <c r="F98" s="68" t="s">
        <v>101</v>
      </c>
      <c r="G98" s="68"/>
    </row>
    <row r="99" spans="1:7" ht="72" x14ac:dyDescent="0.3">
      <c r="A99" s="38" t="s">
        <v>155</v>
      </c>
      <c r="B99" s="20" t="s">
        <v>187</v>
      </c>
      <c r="C99" s="49" t="s">
        <v>221</v>
      </c>
      <c r="D99" s="27" t="s">
        <v>1176</v>
      </c>
      <c r="E99" s="68" t="s">
        <v>1694</v>
      </c>
      <c r="F99" s="68" t="s">
        <v>101</v>
      </c>
      <c r="G99" s="68"/>
    </row>
    <row r="100" spans="1:7" ht="72" x14ac:dyDescent="0.3">
      <c r="A100" s="38" t="s">
        <v>155</v>
      </c>
      <c r="B100" s="20" t="s">
        <v>187</v>
      </c>
      <c r="C100" s="49" t="s">
        <v>222</v>
      </c>
      <c r="D100" s="27" t="s">
        <v>41</v>
      </c>
      <c r="E100" s="68" t="s">
        <v>1695</v>
      </c>
      <c r="F100" s="68" t="s">
        <v>101</v>
      </c>
      <c r="G100" s="68"/>
    </row>
    <row r="101" spans="1:7" ht="72" x14ac:dyDescent="0.3">
      <c r="A101" s="38" t="s">
        <v>155</v>
      </c>
      <c r="B101" s="20" t="s">
        <v>187</v>
      </c>
      <c r="C101" s="49" t="s">
        <v>223</v>
      </c>
      <c r="D101" s="27" t="s">
        <v>45</v>
      </c>
      <c r="E101" s="68" t="s">
        <v>1696</v>
      </c>
      <c r="F101" s="68" t="s">
        <v>101</v>
      </c>
      <c r="G101" s="68"/>
    </row>
    <row r="102" spans="1:7" ht="72" x14ac:dyDescent="0.3">
      <c r="A102" s="38" t="s">
        <v>155</v>
      </c>
      <c r="B102" s="20" t="s">
        <v>187</v>
      </c>
      <c r="C102" s="49" t="s">
        <v>224</v>
      </c>
      <c r="D102" s="27" t="s">
        <v>1176</v>
      </c>
      <c r="E102" s="68" t="s">
        <v>1697</v>
      </c>
      <c r="F102" s="68" t="s">
        <v>101</v>
      </c>
      <c r="G102" s="68"/>
    </row>
    <row r="103" spans="1:7" ht="72" x14ac:dyDescent="0.3">
      <c r="A103" s="38" t="s">
        <v>155</v>
      </c>
      <c r="B103" s="20" t="s">
        <v>187</v>
      </c>
      <c r="C103" s="49" t="s">
        <v>225</v>
      </c>
      <c r="D103" s="27" t="s">
        <v>45</v>
      </c>
      <c r="E103" s="68" t="s">
        <v>1348</v>
      </c>
      <c r="F103" s="68" t="s">
        <v>101</v>
      </c>
      <c r="G103" s="68"/>
    </row>
    <row r="104" spans="1:7" ht="57.6" x14ac:dyDescent="0.3">
      <c r="A104" s="38" t="s">
        <v>155</v>
      </c>
      <c r="B104" s="20" t="s">
        <v>187</v>
      </c>
      <c r="C104" s="49" t="s">
        <v>226</v>
      </c>
      <c r="D104" s="27" t="s">
        <v>1176</v>
      </c>
      <c r="E104" s="68" t="s">
        <v>1349</v>
      </c>
      <c r="F104" s="68" t="s">
        <v>101</v>
      </c>
      <c r="G104" s="68"/>
    </row>
    <row r="105" spans="1:7" ht="57.6" x14ac:dyDescent="0.3">
      <c r="A105" s="38" t="s">
        <v>155</v>
      </c>
      <c r="B105" s="20" t="s">
        <v>187</v>
      </c>
      <c r="C105" s="49" t="s">
        <v>227</v>
      </c>
      <c r="D105" s="27" t="s">
        <v>41</v>
      </c>
      <c r="E105" s="68" t="s">
        <v>1350</v>
      </c>
      <c r="F105" s="68" t="s">
        <v>101</v>
      </c>
      <c r="G105" s="68"/>
    </row>
    <row r="106" spans="1:7" ht="72" x14ac:dyDescent="0.3">
      <c r="A106" s="38" t="s">
        <v>155</v>
      </c>
      <c r="B106" s="20" t="s">
        <v>187</v>
      </c>
      <c r="C106" s="49" t="s">
        <v>228</v>
      </c>
      <c r="D106" s="27" t="s">
        <v>45</v>
      </c>
      <c r="E106" s="68" t="s">
        <v>1351</v>
      </c>
      <c r="F106" s="68" t="s">
        <v>101</v>
      </c>
      <c r="G106" s="68"/>
    </row>
    <row r="107" spans="1:7" ht="72" x14ac:dyDescent="0.3">
      <c r="A107" s="38" t="s">
        <v>155</v>
      </c>
      <c r="B107" s="20" t="s">
        <v>187</v>
      </c>
      <c r="C107" s="49" t="s">
        <v>229</v>
      </c>
      <c r="D107" s="27" t="s">
        <v>1176</v>
      </c>
      <c r="E107" s="68" t="s">
        <v>1352</v>
      </c>
      <c r="F107" s="68" t="s">
        <v>101</v>
      </c>
      <c r="G107" s="68"/>
    </row>
    <row r="108" spans="1:7" ht="57.6" x14ac:dyDescent="0.3">
      <c r="A108" s="38" t="s">
        <v>155</v>
      </c>
      <c r="B108" s="20" t="s">
        <v>187</v>
      </c>
      <c r="C108" s="49" t="s">
        <v>230</v>
      </c>
      <c r="D108" s="27" t="s">
        <v>45</v>
      </c>
      <c r="E108" s="68" t="s">
        <v>1353</v>
      </c>
      <c r="F108" s="68" t="s">
        <v>101</v>
      </c>
      <c r="G108" s="68"/>
    </row>
    <row r="109" spans="1:7" ht="43.2" x14ac:dyDescent="0.3">
      <c r="A109" s="38" t="s">
        <v>155</v>
      </c>
      <c r="B109" s="20" t="s">
        <v>187</v>
      </c>
      <c r="C109" s="49" t="s">
        <v>231</v>
      </c>
      <c r="D109" s="27" t="s">
        <v>1176</v>
      </c>
      <c r="E109" s="68" t="s">
        <v>1354</v>
      </c>
      <c r="F109" s="68" t="s">
        <v>101</v>
      </c>
      <c r="G109" s="68"/>
    </row>
    <row r="110" spans="1:7" ht="57.6" x14ac:dyDescent="0.3">
      <c r="A110" s="38" t="s">
        <v>155</v>
      </c>
      <c r="B110" s="20" t="s">
        <v>187</v>
      </c>
      <c r="C110" s="49" t="s">
        <v>232</v>
      </c>
      <c r="D110" s="27" t="s">
        <v>45</v>
      </c>
      <c r="E110" s="68" t="s">
        <v>1355</v>
      </c>
      <c r="F110" s="68" t="s">
        <v>101</v>
      </c>
      <c r="G110" s="68"/>
    </row>
    <row r="111" spans="1:7" ht="57.6" x14ac:dyDescent="0.3">
      <c r="A111" s="38" t="s">
        <v>155</v>
      </c>
      <c r="B111" s="20" t="s">
        <v>187</v>
      </c>
      <c r="C111" s="49" t="s">
        <v>233</v>
      </c>
      <c r="D111" s="27" t="s">
        <v>1176</v>
      </c>
      <c r="E111" s="68" t="s">
        <v>1356</v>
      </c>
      <c r="F111" s="68" t="s">
        <v>101</v>
      </c>
      <c r="G111" s="68"/>
    </row>
    <row r="112" spans="1:7" ht="57.6" x14ac:dyDescent="0.3">
      <c r="A112" s="38" t="s">
        <v>155</v>
      </c>
      <c r="B112" s="20" t="s">
        <v>187</v>
      </c>
      <c r="C112" s="49" t="s">
        <v>234</v>
      </c>
      <c r="D112" s="27" t="s">
        <v>45</v>
      </c>
      <c r="E112" s="14" t="s">
        <v>235</v>
      </c>
      <c r="F112" s="14" t="s">
        <v>236</v>
      </c>
      <c r="G112" s="68"/>
    </row>
    <row r="113" spans="1:7" ht="72" x14ac:dyDescent="0.3">
      <c r="A113" s="38" t="s">
        <v>155</v>
      </c>
      <c r="B113" s="20" t="s">
        <v>187</v>
      </c>
      <c r="C113" s="49" t="s">
        <v>237</v>
      </c>
      <c r="D113" s="27" t="s">
        <v>1176</v>
      </c>
      <c r="E113" s="68" t="s">
        <v>1698</v>
      </c>
      <c r="F113" s="14" t="s">
        <v>238</v>
      </c>
      <c r="G113" s="68"/>
    </row>
    <row r="114" spans="1:7" ht="43.2" x14ac:dyDescent="0.3">
      <c r="A114" s="38" t="s">
        <v>155</v>
      </c>
      <c r="B114" s="20" t="s">
        <v>187</v>
      </c>
      <c r="C114" s="49" t="s">
        <v>239</v>
      </c>
      <c r="D114" s="27" t="s">
        <v>45</v>
      </c>
      <c r="E114" s="14" t="s">
        <v>240</v>
      </c>
      <c r="F114" s="14" t="s">
        <v>241</v>
      </c>
      <c r="G114" s="68"/>
    </row>
    <row r="115" spans="1:7" ht="43.2" x14ac:dyDescent="0.3">
      <c r="A115" s="38" t="s">
        <v>155</v>
      </c>
      <c r="B115" s="20" t="s">
        <v>187</v>
      </c>
      <c r="C115" s="49" t="s">
        <v>242</v>
      </c>
      <c r="D115" s="27" t="s">
        <v>1176</v>
      </c>
      <c r="E115" s="14" t="s">
        <v>243</v>
      </c>
      <c r="F115" s="14" t="s">
        <v>241</v>
      </c>
      <c r="G115" s="68"/>
    </row>
    <row r="116" spans="1:7" ht="57.6" x14ac:dyDescent="0.3">
      <c r="A116" s="38" t="s">
        <v>155</v>
      </c>
      <c r="B116" s="20" t="s">
        <v>187</v>
      </c>
      <c r="C116" s="49" t="s">
        <v>244</v>
      </c>
      <c r="D116" s="27" t="s">
        <v>45</v>
      </c>
      <c r="E116" s="68" t="s">
        <v>1357</v>
      </c>
      <c r="F116" s="14" t="s">
        <v>190</v>
      </c>
      <c r="G116" s="68"/>
    </row>
    <row r="117" spans="1:7" ht="57.6" x14ac:dyDescent="0.3">
      <c r="A117" s="38" t="s">
        <v>155</v>
      </c>
      <c r="B117" s="20" t="s">
        <v>187</v>
      </c>
      <c r="C117" s="49" t="s">
        <v>245</v>
      </c>
      <c r="D117" s="27" t="s">
        <v>1176</v>
      </c>
      <c r="E117" s="68" t="s">
        <v>1358</v>
      </c>
      <c r="F117" s="14" t="s">
        <v>190</v>
      </c>
      <c r="G117" s="68"/>
    </row>
    <row r="118" spans="1:7" ht="57.6" x14ac:dyDescent="0.3">
      <c r="A118" s="38" t="s">
        <v>155</v>
      </c>
      <c r="B118" s="20" t="s">
        <v>187</v>
      </c>
      <c r="C118" s="49" t="s">
        <v>246</v>
      </c>
      <c r="D118" s="27" t="s">
        <v>45</v>
      </c>
      <c r="E118" s="68" t="s">
        <v>1359</v>
      </c>
      <c r="F118" s="14" t="s">
        <v>71</v>
      </c>
      <c r="G118" s="68"/>
    </row>
    <row r="119" spans="1:7" ht="43.2" x14ac:dyDescent="0.3">
      <c r="A119" s="38" t="s">
        <v>155</v>
      </c>
      <c r="B119" s="20" t="s">
        <v>187</v>
      </c>
      <c r="C119" s="49" t="s">
        <v>247</v>
      </c>
      <c r="D119" s="27" t="s">
        <v>1176</v>
      </c>
      <c r="E119" s="68" t="s">
        <v>1360</v>
      </c>
      <c r="F119" s="14" t="s">
        <v>71</v>
      </c>
      <c r="G119" s="68"/>
    </row>
    <row r="120" spans="1:7" ht="43.2" x14ac:dyDescent="0.3">
      <c r="A120" s="38" t="s">
        <v>155</v>
      </c>
      <c r="B120" s="20" t="s">
        <v>187</v>
      </c>
      <c r="C120" s="49" t="s">
        <v>248</v>
      </c>
      <c r="D120" s="27" t="s">
        <v>41</v>
      </c>
      <c r="E120" s="68" t="s">
        <v>1361</v>
      </c>
      <c r="F120" s="14" t="s">
        <v>71</v>
      </c>
      <c r="G120" s="68"/>
    </row>
    <row r="121" spans="1:7" ht="57.6" x14ac:dyDescent="0.3">
      <c r="A121" s="38" t="s">
        <v>155</v>
      </c>
      <c r="B121" s="20" t="s">
        <v>187</v>
      </c>
      <c r="C121" s="49" t="s">
        <v>249</v>
      </c>
      <c r="D121" s="27" t="s">
        <v>45</v>
      </c>
      <c r="E121" s="68" t="s">
        <v>1362</v>
      </c>
      <c r="F121" s="14" t="s">
        <v>89</v>
      </c>
      <c r="G121" s="68"/>
    </row>
    <row r="122" spans="1:7" ht="43.2" x14ac:dyDescent="0.3">
      <c r="A122" s="38" t="s">
        <v>155</v>
      </c>
      <c r="B122" s="20" t="s">
        <v>187</v>
      </c>
      <c r="C122" s="49" t="s">
        <v>250</v>
      </c>
      <c r="D122" s="27" t="s">
        <v>1176</v>
      </c>
      <c r="E122" s="68" t="s">
        <v>1363</v>
      </c>
      <c r="F122" s="14" t="s">
        <v>89</v>
      </c>
      <c r="G122" s="68"/>
    </row>
    <row r="123" spans="1:7" ht="57.6" x14ac:dyDescent="0.3">
      <c r="A123" s="38" t="s">
        <v>155</v>
      </c>
      <c r="B123" s="20" t="s">
        <v>187</v>
      </c>
      <c r="C123" s="49" t="s">
        <v>251</v>
      </c>
      <c r="D123" s="27" t="s">
        <v>45</v>
      </c>
      <c r="E123" s="68" t="s">
        <v>1364</v>
      </c>
      <c r="F123" s="14" t="s">
        <v>166</v>
      </c>
      <c r="G123" s="68"/>
    </row>
    <row r="124" spans="1:7" ht="43.2" x14ac:dyDescent="0.3">
      <c r="A124" s="38" t="s">
        <v>155</v>
      </c>
      <c r="B124" s="20" t="s">
        <v>187</v>
      </c>
      <c r="C124" s="49" t="s">
        <v>252</v>
      </c>
      <c r="D124" s="27" t="s">
        <v>1176</v>
      </c>
      <c r="E124" s="68" t="s">
        <v>1365</v>
      </c>
      <c r="F124" s="14" t="s">
        <v>166</v>
      </c>
      <c r="G124" s="68"/>
    </row>
    <row r="125" spans="1:7" ht="43.2" x14ac:dyDescent="0.3">
      <c r="A125" s="38" t="s">
        <v>155</v>
      </c>
      <c r="B125" s="20" t="s">
        <v>187</v>
      </c>
      <c r="C125" s="49" t="s">
        <v>253</v>
      </c>
      <c r="D125" s="27" t="s">
        <v>45</v>
      </c>
      <c r="E125" s="68" t="s">
        <v>1366</v>
      </c>
      <c r="F125" s="14" t="s">
        <v>71</v>
      </c>
      <c r="G125" s="68"/>
    </row>
    <row r="126" spans="1:7" ht="43.2" x14ac:dyDescent="0.3">
      <c r="A126" s="38" t="s">
        <v>155</v>
      </c>
      <c r="B126" s="20" t="s">
        <v>187</v>
      </c>
      <c r="C126" s="49" t="s">
        <v>254</v>
      </c>
      <c r="D126" s="27" t="s">
        <v>1176</v>
      </c>
      <c r="E126" s="68" t="s">
        <v>1367</v>
      </c>
      <c r="F126" s="14" t="s">
        <v>71</v>
      </c>
      <c r="G126" s="68"/>
    </row>
    <row r="127" spans="1:7" ht="72" x14ac:dyDescent="0.3">
      <c r="A127" s="38" t="s">
        <v>155</v>
      </c>
      <c r="B127" s="20" t="s">
        <v>187</v>
      </c>
      <c r="C127" s="49" t="s">
        <v>255</v>
      </c>
      <c r="D127" s="27" t="s">
        <v>45</v>
      </c>
      <c r="E127" s="68" t="s">
        <v>1368</v>
      </c>
      <c r="F127" s="68" t="s">
        <v>376</v>
      </c>
      <c r="G127" s="68"/>
    </row>
    <row r="128" spans="1:7" ht="57.6" x14ac:dyDescent="0.3">
      <c r="A128" s="38" t="s">
        <v>155</v>
      </c>
      <c r="B128" s="20" t="s">
        <v>187</v>
      </c>
      <c r="C128" s="49" t="s">
        <v>256</v>
      </c>
      <c r="D128" s="27" t="s">
        <v>1176</v>
      </c>
      <c r="E128" s="68" t="s">
        <v>1369</v>
      </c>
      <c r="F128" s="68" t="s">
        <v>376</v>
      </c>
      <c r="G128" s="68"/>
    </row>
    <row r="129" spans="1:7" ht="43.2" x14ac:dyDescent="0.3">
      <c r="A129" s="38" t="s">
        <v>155</v>
      </c>
      <c r="B129" s="20" t="s">
        <v>187</v>
      </c>
      <c r="C129" s="49" t="s">
        <v>257</v>
      </c>
      <c r="D129" s="27" t="s">
        <v>45</v>
      </c>
      <c r="E129" s="68" t="s">
        <v>1370</v>
      </c>
      <c r="F129" s="68" t="s">
        <v>184</v>
      </c>
      <c r="G129" s="68"/>
    </row>
    <row r="130" spans="1:7" ht="43.2" x14ac:dyDescent="0.3">
      <c r="A130" s="38" t="s">
        <v>155</v>
      </c>
      <c r="B130" s="20" t="s">
        <v>187</v>
      </c>
      <c r="C130" s="49" t="s">
        <v>258</v>
      </c>
      <c r="D130" s="27" t="s">
        <v>1176</v>
      </c>
      <c r="E130" s="68" t="s">
        <v>1371</v>
      </c>
      <c r="F130" s="68" t="s">
        <v>184</v>
      </c>
      <c r="G130" s="68"/>
    </row>
    <row r="131" spans="1:7" ht="57.6" x14ac:dyDescent="0.3">
      <c r="A131" s="38" t="s">
        <v>155</v>
      </c>
      <c r="B131" s="20" t="s">
        <v>187</v>
      </c>
      <c r="C131" s="50" t="s">
        <v>259</v>
      </c>
      <c r="D131" s="27" t="s">
        <v>45</v>
      </c>
      <c r="E131" s="68" t="s">
        <v>1372</v>
      </c>
      <c r="F131" s="68" t="s">
        <v>184</v>
      </c>
      <c r="G131" s="68"/>
    </row>
    <row r="132" spans="1:7" ht="43.8" thickBot="1" x14ac:dyDescent="0.35">
      <c r="A132" s="63" t="s">
        <v>155</v>
      </c>
      <c r="B132" s="64" t="s">
        <v>187</v>
      </c>
      <c r="C132" s="69" t="s">
        <v>260</v>
      </c>
      <c r="D132" s="66" t="s">
        <v>1176</v>
      </c>
      <c r="E132" s="107" t="s">
        <v>1373</v>
      </c>
      <c r="F132" s="107" t="s">
        <v>184</v>
      </c>
      <c r="G132" s="107"/>
    </row>
    <row r="133" spans="1:7" ht="57.6" x14ac:dyDescent="0.3">
      <c r="A133" s="40" t="s">
        <v>261</v>
      </c>
      <c r="B133" s="16" t="s">
        <v>262</v>
      </c>
      <c r="C133" s="52" t="s">
        <v>263</v>
      </c>
      <c r="D133" s="26" t="s">
        <v>41</v>
      </c>
      <c r="E133" s="106" t="s">
        <v>1374</v>
      </c>
      <c r="F133" s="106" t="s">
        <v>1269</v>
      </c>
      <c r="G133" s="106"/>
    </row>
    <row r="134" spans="1:7" ht="72" x14ac:dyDescent="0.3">
      <c r="A134" s="38" t="s">
        <v>261</v>
      </c>
      <c r="B134" s="20" t="s">
        <v>262</v>
      </c>
      <c r="C134" s="49" t="s">
        <v>264</v>
      </c>
      <c r="D134" s="27" t="s">
        <v>45</v>
      </c>
      <c r="E134" s="68" t="s">
        <v>1375</v>
      </c>
      <c r="F134" s="106" t="s">
        <v>1269</v>
      </c>
      <c r="G134" s="68"/>
    </row>
    <row r="135" spans="1:7" ht="57.6" x14ac:dyDescent="0.3">
      <c r="A135" s="38" t="s">
        <v>261</v>
      </c>
      <c r="B135" s="20" t="s">
        <v>262</v>
      </c>
      <c r="C135" s="49" t="s">
        <v>265</v>
      </c>
      <c r="D135" s="27" t="s">
        <v>1176</v>
      </c>
      <c r="E135" s="68" t="s">
        <v>1376</v>
      </c>
      <c r="F135" s="106" t="s">
        <v>1269</v>
      </c>
      <c r="G135" s="68"/>
    </row>
    <row r="136" spans="1:7" ht="43.2" x14ac:dyDescent="0.3">
      <c r="A136" s="20" t="s">
        <v>261</v>
      </c>
      <c r="B136" s="20" t="s">
        <v>262</v>
      </c>
      <c r="C136" s="49" t="s">
        <v>266</v>
      </c>
      <c r="D136" s="27" t="s">
        <v>45</v>
      </c>
      <c r="E136" s="68" t="s">
        <v>1377</v>
      </c>
      <c r="F136" s="14" t="s">
        <v>267</v>
      </c>
      <c r="G136" s="68"/>
    </row>
    <row r="137" spans="1:7" ht="28.8" x14ac:dyDescent="0.3">
      <c r="A137" s="40" t="s">
        <v>261</v>
      </c>
      <c r="B137" s="16" t="s">
        <v>262</v>
      </c>
      <c r="C137" s="52" t="s">
        <v>268</v>
      </c>
      <c r="D137" s="26" t="s">
        <v>1176</v>
      </c>
      <c r="E137" s="106" t="s">
        <v>1378</v>
      </c>
      <c r="F137" s="11" t="s">
        <v>267</v>
      </c>
      <c r="G137" s="106"/>
    </row>
    <row r="138" spans="1:7" ht="43.2" x14ac:dyDescent="0.3">
      <c r="A138" s="38" t="s">
        <v>261</v>
      </c>
      <c r="B138" s="20" t="s">
        <v>262</v>
      </c>
      <c r="C138" s="49" t="s">
        <v>269</v>
      </c>
      <c r="D138" s="27" t="s">
        <v>41</v>
      </c>
      <c r="E138" s="68" t="s">
        <v>1379</v>
      </c>
      <c r="F138" s="11" t="s">
        <v>270</v>
      </c>
      <c r="G138" s="68"/>
    </row>
    <row r="139" spans="1:7" ht="43.2" x14ac:dyDescent="0.3">
      <c r="A139" s="38" t="s">
        <v>261</v>
      </c>
      <c r="B139" s="20" t="s">
        <v>262</v>
      </c>
      <c r="C139" s="49" t="s">
        <v>271</v>
      </c>
      <c r="D139" s="27" t="s">
        <v>1177</v>
      </c>
      <c r="E139" s="68" t="s">
        <v>1380</v>
      </c>
      <c r="F139" s="11" t="s">
        <v>267</v>
      </c>
      <c r="G139" s="68"/>
    </row>
    <row r="140" spans="1:7" ht="43.2" x14ac:dyDescent="0.3">
      <c r="A140" s="38" t="s">
        <v>261</v>
      </c>
      <c r="B140" s="20" t="s">
        <v>262</v>
      </c>
      <c r="C140" s="49" t="s">
        <v>272</v>
      </c>
      <c r="D140" s="27" t="s">
        <v>1176</v>
      </c>
      <c r="E140" s="68" t="s">
        <v>1381</v>
      </c>
      <c r="F140" s="14" t="s">
        <v>267</v>
      </c>
      <c r="G140" s="68"/>
    </row>
    <row r="141" spans="1:7" ht="57.6" x14ac:dyDescent="0.3">
      <c r="A141" s="38" t="s">
        <v>261</v>
      </c>
      <c r="B141" s="20" t="s">
        <v>262</v>
      </c>
      <c r="C141" s="49" t="s">
        <v>273</v>
      </c>
      <c r="D141" s="27" t="s">
        <v>45</v>
      </c>
      <c r="E141" s="68" t="s">
        <v>1382</v>
      </c>
      <c r="F141" s="68" t="s">
        <v>1270</v>
      </c>
      <c r="G141" s="68"/>
    </row>
    <row r="142" spans="1:7" ht="57.6" x14ac:dyDescent="0.3">
      <c r="A142" s="38" t="s">
        <v>261</v>
      </c>
      <c r="B142" s="20" t="s">
        <v>262</v>
      </c>
      <c r="C142" s="49" t="s">
        <v>274</v>
      </c>
      <c r="D142" s="27" t="s">
        <v>1176</v>
      </c>
      <c r="E142" s="68" t="s">
        <v>1383</v>
      </c>
      <c r="F142" s="68" t="s">
        <v>1271</v>
      </c>
      <c r="G142" s="68"/>
    </row>
    <row r="143" spans="1:7" ht="43.2" x14ac:dyDescent="0.3">
      <c r="A143" s="38" t="s">
        <v>261</v>
      </c>
      <c r="B143" s="20" t="s">
        <v>262</v>
      </c>
      <c r="C143" s="49" t="s">
        <v>275</v>
      </c>
      <c r="D143" s="27" t="s">
        <v>41</v>
      </c>
      <c r="E143" s="68" t="s">
        <v>1384</v>
      </c>
      <c r="F143" s="68" t="s">
        <v>1271</v>
      </c>
      <c r="G143" s="68"/>
    </row>
    <row r="144" spans="1:7" ht="43.2" x14ac:dyDescent="0.3">
      <c r="A144" s="38" t="s">
        <v>261</v>
      </c>
      <c r="B144" s="20" t="s">
        <v>262</v>
      </c>
      <c r="C144" s="49" t="s">
        <v>276</v>
      </c>
      <c r="D144" s="27" t="s">
        <v>45</v>
      </c>
      <c r="E144" s="14" t="s">
        <v>277</v>
      </c>
      <c r="F144" s="68" t="s">
        <v>1271</v>
      </c>
      <c r="G144" s="68"/>
    </row>
    <row r="145" spans="1:7" ht="43.2" x14ac:dyDescent="0.3">
      <c r="A145" s="38" t="s">
        <v>261</v>
      </c>
      <c r="B145" s="20" t="s">
        <v>262</v>
      </c>
      <c r="C145" s="49" t="s">
        <v>278</v>
      </c>
      <c r="D145" s="27" t="s">
        <v>1176</v>
      </c>
      <c r="E145" s="14" t="s">
        <v>279</v>
      </c>
      <c r="F145" s="68" t="s">
        <v>1271</v>
      </c>
      <c r="G145" s="68"/>
    </row>
    <row r="146" spans="1:7" ht="72" x14ac:dyDescent="0.3">
      <c r="A146" s="38" t="s">
        <v>261</v>
      </c>
      <c r="B146" s="20" t="s">
        <v>262</v>
      </c>
      <c r="C146" s="49" t="s">
        <v>280</v>
      </c>
      <c r="D146" s="27" t="s">
        <v>41</v>
      </c>
      <c r="E146" s="68" t="s">
        <v>1385</v>
      </c>
      <c r="F146" s="68" t="s">
        <v>101</v>
      </c>
      <c r="G146" s="68"/>
    </row>
    <row r="147" spans="1:7" ht="72" x14ac:dyDescent="0.3">
      <c r="A147" s="38" t="s">
        <v>261</v>
      </c>
      <c r="B147" s="20" t="s">
        <v>262</v>
      </c>
      <c r="C147" s="49" t="s">
        <v>281</v>
      </c>
      <c r="D147" s="27" t="s">
        <v>41</v>
      </c>
      <c r="E147" s="68" t="s">
        <v>1386</v>
      </c>
      <c r="F147" s="68" t="s">
        <v>101</v>
      </c>
      <c r="G147" s="68"/>
    </row>
    <row r="148" spans="1:7" ht="57.6" x14ac:dyDescent="0.3">
      <c r="A148" s="38" t="s">
        <v>261</v>
      </c>
      <c r="B148" s="20" t="s">
        <v>262</v>
      </c>
      <c r="C148" s="49" t="s">
        <v>282</v>
      </c>
      <c r="D148" s="27" t="s">
        <v>41</v>
      </c>
      <c r="E148" s="68" t="s">
        <v>1387</v>
      </c>
      <c r="F148" s="68" t="s">
        <v>1268</v>
      </c>
      <c r="G148" s="68"/>
    </row>
    <row r="149" spans="1:7" ht="57.6" x14ac:dyDescent="0.3">
      <c r="A149" s="47" t="s">
        <v>261</v>
      </c>
      <c r="B149" s="48" t="s">
        <v>262</v>
      </c>
      <c r="C149" s="53" t="s">
        <v>283</v>
      </c>
      <c r="D149" s="27" t="s">
        <v>41</v>
      </c>
      <c r="E149" s="87" t="s">
        <v>1388</v>
      </c>
      <c r="F149" s="68" t="s">
        <v>101</v>
      </c>
      <c r="G149" s="87"/>
    </row>
    <row r="150" spans="1:7" ht="72" x14ac:dyDescent="0.3">
      <c r="A150" s="38" t="s">
        <v>261</v>
      </c>
      <c r="B150" s="20" t="s">
        <v>262</v>
      </c>
      <c r="C150" s="49" t="s">
        <v>284</v>
      </c>
      <c r="D150" s="27" t="s">
        <v>45</v>
      </c>
      <c r="E150" s="68" t="s">
        <v>1389</v>
      </c>
      <c r="F150" s="68" t="s">
        <v>101</v>
      </c>
      <c r="G150" s="68"/>
    </row>
    <row r="151" spans="1:7" ht="57.6" x14ac:dyDescent="0.3">
      <c r="A151" s="38" t="s">
        <v>261</v>
      </c>
      <c r="B151" s="20" t="s">
        <v>262</v>
      </c>
      <c r="C151" s="49" t="s">
        <v>285</v>
      </c>
      <c r="D151" s="27" t="s">
        <v>1176</v>
      </c>
      <c r="E151" s="68" t="s">
        <v>1390</v>
      </c>
      <c r="F151" s="68" t="s">
        <v>101</v>
      </c>
      <c r="G151" s="68"/>
    </row>
    <row r="152" spans="1:7" s="119" customFormat="1" ht="57.6" x14ac:dyDescent="0.3">
      <c r="A152" s="115" t="s">
        <v>261</v>
      </c>
      <c r="B152" s="116" t="s">
        <v>262</v>
      </c>
      <c r="C152" s="117" t="s">
        <v>1838</v>
      </c>
      <c r="D152" s="118" t="s">
        <v>1176</v>
      </c>
      <c r="E152" s="87" t="s">
        <v>1391</v>
      </c>
      <c r="F152" s="87" t="s">
        <v>101</v>
      </c>
      <c r="G152" s="87"/>
    </row>
    <row r="153" spans="1:7" ht="86.4" x14ac:dyDescent="0.3">
      <c r="A153" s="115" t="s">
        <v>261</v>
      </c>
      <c r="B153" s="116" t="s">
        <v>262</v>
      </c>
      <c r="C153" s="117" t="s">
        <v>1839</v>
      </c>
      <c r="D153" s="118" t="s">
        <v>45</v>
      </c>
      <c r="E153" s="87" t="s">
        <v>1188</v>
      </c>
      <c r="F153" s="87" t="s">
        <v>1246</v>
      </c>
      <c r="G153" s="87"/>
    </row>
    <row r="154" spans="1:7" ht="57.6" x14ac:dyDescent="0.3">
      <c r="A154" s="115" t="s">
        <v>261</v>
      </c>
      <c r="B154" s="116" t="s">
        <v>262</v>
      </c>
      <c r="C154" s="117" t="s">
        <v>1840</v>
      </c>
      <c r="D154" s="118" t="s">
        <v>1176</v>
      </c>
      <c r="E154" s="87" t="s">
        <v>1189</v>
      </c>
      <c r="F154" s="87" t="s">
        <v>1246</v>
      </c>
      <c r="G154" s="87"/>
    </row>
    <row r="155" spans="1:7" ht="100.8" x14ac:dyDescent="0.3">
      <c r="A155" s="38" t="s">
        <v>261</v>
      </c>
      <c r="B155" s="20" t="s">
        <v>262</v>
      </c>
      <c r="C155" s="49" t="s">
        <v>286</v>
      </c>
      <c r="D155" s="27" t="s">
        <v>45</v>
      </c>
      <c r="E155" s="68" t="s">
        <v>1392</v>
      </c>
      <c r="F155" s="68" t="s">
        <v>1243</v>
      </c>
      <c r="G155" s="68"/>
    </row>
    <row r="156" spans="1:7" ht="86.4" x14ac:dyDescent="0.3">
      <c r="A156" s="38" t="s">
        <v>261</v>
      </c>
      <c r="B156" s="20" t="s">
        <v>262</v>
      </c>
      <c r="C156" s="49" t="s">
        <v>288</v>
      </c>
      <c r="D156" s="27" t="s">
        <v>1176</v>
      </c>
      <c r="E156" s="68" t="s">
        <v>1393</v>
      </c>
      <c r="F156" s="68" t="s">
        <v>1243</v>
      </c>
      <c r="G156" s="68"/>
    </row>
    <row r="157" spans="1:7" ht="57.6" x14ac:dyDescent="0.3">
      <c r="A157" s="38" t="s">
        <v>261</v>
      </c>
      <c r="B157" s="20" t="s">
        <v>262</v>
      </c>
      <c r="C157" s="49" t="s">
        <v>289</v>
      </c>
      <c r="D157" s="27" t="s">
        <v>41</v>
      </c>
      <c r="E157" s="68" t="s">
        <v>1394</v>
      </c>
      <c r="F157" s="14" t="s">
        <v>287</v>
      </c>
      <c r="G157" s="68"/>
    </row>
    <row r="158" spans="1:7" ht="28.8" x14ac:dyDescent="0.3">
      <c r="A158" s="115" t="s">
        <v>261</v>
      </c>
      <c r="B158" s="116" t="s">
        <v>262</v>
      </c>
      <c r="C158" s="117" t="s">
        <v>1841</v>
      </c>
      <c r="D158" s="118" t="s">
        <v>45</v>
      </c>
      <c r="E158" s="87" t="s">
        <v>1147</v>
      </c>
      <c r="F158" s="87" t="s">
        <v>287</v>
      </c>
      <c r="G158" s="87"/>
    </row>
    <row r="159" spans="1:7" ht="28.8" x14ac:dyDescent="0.3">
      <c r="A159" s="115" t="s">
        <v>261</v>
      </c>
      <c r="B159" s="116" t="s">
        <v>262</v>
      </c>
      <c r="C159" s="117" t="s">
        <v>1842</v>
      </c>
      <c r="D159" s="118" t="s">
        <v>1176</v>
      </c>
      <c r="E159" s="87" t="s">
        <v>1148</v>
      </c>
      <c r="F159" s="87" t="s">
        <v>287</v>
      </c>
      <c r="G159" s="87"/>
    </row>
    <row r="160" spans="1:7" ht="115.2" x14ac:dyDescent="0.3">
      <c r="A160" s="38" t="s">
        <v>261</v>
      </c>
      <c r="B160" s="20" t="s">
        <v>262</v>
      </c>
      <c r="C160" s="53" t="s">
        <v>291</v>
      </c>
      <c r="D160" s="27" t="s">
        <v>45</v>
      </c>
      <c r="E160" s="68" t="s">
        <v>1395</v>
      </c>
      <c r="F160" s="68" t="s">
        <v>1244</v>
      </c>
      <c r="G160" s="68"/>
    </row>
    <row r="161" spans="1:7" ht="43.2" x14ac:dyDescent="0.3">
      <c r="A161" s="38" t="s">
        <v>261</v>
      </c>
      <c r="B161" s="20" t="s">
        <v>262</v>
      </c>
      <c r="C161" s="53" t="s">
        <v>292</v>
      </c>
      <c r="D161" s="27" t="s">
        <v>1176</v>
      </c>
      <c r="E161" s="68" t="s">
        <v>1396</v>
      </c>
      <c r="F161" s="68" t="s">
        <v>293</v>
      </c>
      <c r="G161" s="68"/>
    </row>
    <row r="162" spans="1:7" ht="43.2" x14ac:dyDescent="0.3">
      <c r="A162" s="38" t="s">
        <v>261</v>
      </c>
      <c r="B162" s="20" t="s">
        <v>262</v>
      </c>
      <c r="C162" s="53" t="s">
        <v>294</v>
      </c>
      <c r="D162" s="27" t="s">
        <v>1176</v>
      </c>
      <c r="E162" s="68" t="s">
        <v>1397</v>
      </c>
      <c r="F162" s="68" t="s">
        <v>293</v>
      </c>
      <c r="G162" s="68"/>
    </row>
    <row r="163" spans="1:7" ht="86.4" x14ac:dyDescent="0.3">
      <c r="A163" s="38" t="s">
        <v>261</v>
      </c>
      <c r="B163" s="20" t="s">
        <v>262</v>
      </c>
      <c r="C163" s="53" t="s">
        <v>295</v>
      </c>
      <c r="D163" s="27" t="s">
        <v>45</v>
      </c>
      <c r="E163" s="68" t="s">
        <v>1398</v>
      </c>
      <c r="F163" s="14" t="s">
        <v>290</v>
      </c>
      <c r="G163" s="68" t="s">
        <v>51</v>
      </c>
    </row>
    <row r="164" spans="1:7" ht="86.4" x14ac:dyDescent="0.3">
      <c r="A164" s="38" t="s">
        <v>261</v>
      </c>
      <c r="B164" s="20" t="s">
        <v>262</v>
      </c>
      <c r="C164" s="53" t="s">
        <v>296</v>
      </c>
      <c r="D164" s="27" t="s">
        <v>1176</v>
      </c>
      <c r="E164" s="68" t="s">
        <v>1399</v>
      </c>
      <c r="F164" s="14" t="s">
        <v>290</v>
      </c>
      <c r="G164" s="68" t="s">
        <v>51</v>
      </c>
    </row>
    <row r="165" spans="1:7" ht="43.2" x14ac:dyDescent="0.3">
      <c r="A165" s="38" t="s">
        <v>261</v>
      </c>
      <c r="B165" s="20" t="s">
        <v>262</v>
      </c>
      <c r="C165" s="49" t="s">
        <v>297</v>
      </c>
      <c r="D165" s="27" t="s">
        <v>45</v>
      </c>
      <c r="E165" s="68" t="s">
        <v>1400</v>
      </c>
      <c r="F165" s="14" t="s">
        <v>71</v>
      </c>
      <c r="G165" s="68"/>
    </row>
    <row r="166" spans="1:7" ht="43.2" x14ac:dyDescent="0.3">
      <c r="A166" s="38" t="s">
        <v>261</v>
      </c>
      <c r="B166" s="20" t="s">
        <v>262</v>
      </c>
      <c r="C166" s="49" t="s">
        <v>298</v>
      </c>
      <c r="D166" s="27" t="s">
        <v>1176</v>
      </c>
      <c r="E166" s="68" t="s">
        <v>1401</v>
      </c>
      <c r="F166" s="14" t="s">
        <v>71</v>
      </c>
      <c r="G166" s="68"/>
    </row>
    <row r="167" spans="1:7" ht="43.2" x14ac:dyDescent="0.3">
      <c r="A167" s="38" t="s">
        <v>261</v>
      </c>
      <c r="B167" s="20" t="s">
        <v>262</v>
      </c>
      <c r="C167" s="49" t="s">
        <v>300</v>
      </c>
      <c r="D167" s="27" t="s">
        <v>41</v>
      </c>
      <c r="E167" s="68" t="s">
        <v>1402</v>
      </c>
      <c r="F167" s="14" t="s">
        <v>71</v>
      </c>
      <c r="G167" s="68"/>
    </row>
    <row r="168" spans="1:7" ht="86.4" x14ac:dyDescent="0.3">
      <c r="A168" s="38" t="s">
        <v>261</v>
      </c>
      <c r="B168" s="20" t="s">
        <v>262</v>
      </c>
      <c r="C168" s="49" t="s">
        <v>301</v>
      </c>
      <c r="D168" s="27" t="s">
        <v>45</v>
      </c>
      <c r="E168" s="68" t="s">
        <v>1403</v>
      </c>
      <c r="F168" s="14" t="s">
        <v>290</v>
      </c>
      <c r="G168" s="68"/>
    </row>
    <row r="169" spans="1:7" ht="72" x14ac:dyDescent="0.3">
      <c r="A169" s="38" t="s">
        <v>261</v>
      </c>
      <c r="B169" s="20" t="s">
        <v>262</v>
      </c>
      <c r="C169" s="49" t="s">
        <v>1160</v>
      </c>
      <c r="D169" s="27" t="s">
        <v>1176</v>
      </c>
      <c r="E169" s="68" t="s">
        <v>1404</v>
      </c>
      <c r="F169" s="14" t="s">
        <v>299</v>
      </c>
      <c r="G169" s="68"/>
    </row>
    <row r="170" spans="1:7" ht="43.2" x14ac:dyDescent="0.3">
      <c r="A170" s="38" t="s">
        <v>261</v>
      </c>
      <c r="B170" s="20" t="s">
        <v>262</v>
      </c>
      <c r="C170" s="49" t="s">
        <v>302</v>
      </c>
      <c r="D170" s="27" t="s">
        <v>45</v>
      </c>
      <c r="E170" s="68" t="s">
        <v>1405</v>
      </c>
      <c r="F170" s="68" t="s">
        <v>293</v>
      </c>
      <c r="G170" s="68"/>
    </row>
    <row r="171" spans="1:7" ht="43.2" x14ac:dyDescent="0.3">
      <c r="A171" s="38" t="s">
        <v>261</v>
      </c>
      <c r="B171" s="20" t="s">
        <v>262</v>
      </c>
      <c r="C171" s="49" t="s">
        <v>303</v>
      </c>
      <c r="D171" s="27" t="s">
        <v>1176</v>
      </c>
      <c r="E171" s="68" t="s">
        <v>1406</v>
      </c>
      <c r="F171" s="68" t="s">
        <v>293</v>
      </c>
      <c r="G171" s="68"/>
    </row>
    <row r="172" spans="1:7" ht="28.8" x14ac:dyDescent="0.3">
      <c r="A172" s="38" t="s">
        <v>261</v>
      </c>
      <c r="B172" s="20" t="s">
        <v>262</v>
      </c>
      <c r="C172" s="49" t="s">
        <v>304</v>
      </c>
      <c r="D172" s="27" t="s">
        <v>41</v>
      </c>
      <c r="E172" s="68" t="s">
        <v>1407</v>
      </c>
      <c r="F172" s="14" t="s">
        <v>71</v>
      </c>
      <c r="G172" s="68"/>
    </row>
    <row r="173" spans="1:7" ht="28.8" x14ac:dyDescent="0.3">
      <c r="A173" s="38" t="s">
        <v>261</v>
      </c>
      <c r="B173" s="20" t="s">
        <v>262</v>
      </c>
      <c r="C173" s="49" t="s">
        <v>307</v>
      </c>
      <c r="D173" s="27" t="s">
        <v>45</v>
      </c>
      <c r="E173" s="68" t="s">
        <v>1408</v>
      </c>
      <c r="F173" s="14" t="s">
        <v>71</v>
      </c>
      <c r="G173" s="68"/>
    </row>
    <row r="174" spans="1:7" ht="28.8" x14ac:dyDescent="0.3">
      <c r="A174" s="38" t="s">
        <v>261</v>
      </c>
      <c r="B174" s="20" t="s">
        <v>262</v>
      </c>
      <c r="C174" s="49" t="s">
        <v>309</v>
      </c>
      <c r="D174" s="27" t="s">
        <v>1176</v>
      </c>
      <c r="E174" s="68" t="s">
        <v>1409</v>
      </c>
      <c r="F174" s="14" t="s">
        <v>71</v>
      </c>
      <c r="G174" s="68"/>
    </row>
    <row r="175" spans="1:7" ht="144" x14ac:dyDescent="0.3">
      <c r="A175" s="38" t="s">
        <v>261</v>
      </c>
      <c r="B175" s="20" t="s">
        <v>262</v>
      </c>
      <c r="C175" s="49" t="s">
        <v>1161</v>
      </c>
      <c r="D175" s="27" t="s">
        <v>1176</v>
      </c>
      <c r="E175" s="68" t="s">
        <v>1410</v>
      </c>
      <c r="F175" s="68" t="s">
        <v>1272</v>
      </c>
      <c r="G175" s="68"/>
    </row>
    <row r="176" spans="1:7" ht="43.2" x14ac:dyDescent="0.3">
      <c r="A176" s="38" t="s">
        <v>261</v>
      </c>
      <c r="B176" s="20" t="s">
        <v>262</v>
      </c>
      <c r="C176" s="49" t="s">
        <v>310</v>
      </c>
      <c r="D176" s="27" t="s">
        <v>45</v>
      </c>
      <c r="E176" s="14" t="s">
        <v>305</v>
      </c>
      <c r="F176" s="68" t="s">
        <v>306</v>
      </c>
      <c r="G176" s="68"/>
    </row>
    <row r="177" spans="1:7" ht="43.2" x14ac:dyDescent="0.3">
      <c r="A177" s="38" t="s">
        <v>261</v>
      </c>
      <c r="B177" s="20" t="s">
        <v>262</v>
      </c>
      <c r="C177" s="49" t="s">
        <v>311</v>
      </c>
      <c r="D177" s="27" t="s">
        <v>1176</v>
      </c>
      <c r="E177" s="14" t="s">
        <v>308</v>
      </c>
      <c r="F177" s="68" t="s">
        <v>306</v>
      </c>
      <c r="G177" s="68"/>
    </row>
    <row r="178" spans="1:7" ht="129.6" x14ac:dyDescent="0.3">
      <c r="A178" s="38" t="s">
        <v>261</v>
      </c>
      <c r="B178" s="20" t="s">
        <v>262</v>
      </c>
      <c r="C178" s="49" t="s">
        <v>312</v>
      </c>
      <c r="D178" s="27" t="s">
        <v>1176</v>
      </c>
      <c r="E178" s="68" t="s">
        <v>1699</v>
      </c>
      <c r="F178" s="68" t="s">
        <v>1273</v>
      </c>
      <c r="G178" s="68"/>
    </row>
    <row r="179" spans="1:7" ht="43.2" x14ac:dyDescent="0.3">
      <c r="A179" s="38" t="s">
        <v>261</v>
      </c>
      <c r="B179" s="20" t="s">
        <v>262</v>
      </c>
      <c r="C179" s="49" t="s">
        <v>1162</v>
      </c>
      <c r="D179" s="27" t="s">
        <v>41</v>
      </c>
      <c r="E179" s="68" t="s">
        <v>1411</v>
      </c>
      <c r="F179" s="14" t="s">
        <v>71</v>
      </c>
      <c r="G179" s="68"/>
    </row>
    <row r="180" spans="1:7" ht="43.2" x14ac:dyDescent="0.3">
      <c r="A180" s="38" t="s">
        <v>261</v>
      </c>
      <c r="B180" s="20" t="s">
        <v>262</v>
      </c>
      <c r="C180" s="49" t="s">
        <v>1163</v>
      </c>
      <c r="D180" s="27" t="s">
        <v>45</v>
      </c>
      <c r="E180" s="68" t="s">
        <v>1412</v>
      </c>
      <c r="F180" s="14" t="s">
        <v>71</v>
      </c>
      <c r="G180" s="68"/>
    </row>
    <row r="181" spans="1:7" ht="57.6" x14ac:dyDescent="0.3">
      <c r="A181" s="38" t="s">
        <v>261</v>
      </c>
      <c r="B181" s="20" t="s">
        <v>262</v>
      </c>
      <c r="C181" s="49" t="s">
        <v>1164</v>
      </c>
      <c r="D181" s="27" t="s">
        <v>1176</v>
      </c>
      <c r="E181" s="68" t="s">
        <v>1413</v>
      </c>
      <c r="F181" s="14" t="s">
        <v>71</v>
      </c>
      <c r="G181" s="68"/>
    </row>
    <row r="182" spans="1:7" ht="43.8" thickBot="1" x14ac:dyDescent="0.35">
      <c r="A182" s="63" t="s">
        <v>261</v>
      </c>
      <c r="B182" s="64" t="s">
        <v>262</v>
      </c>
      <c r="C182" s="75" t="s">
        <v>1165</v>
      </c>
      <c r="D182" s="66" t="s">
        <v>1176</v>
      </c>
      <c r="E182" s="107" t="s">
        <v>1414</v>
      </c>
      <c r="F182" s="67" t="s">
        <v>71</v>
      </c>
      <c r="G182" s="107"/>
    </row>
    <row r="183" spans="1:7" ht="57.6" x14ac:dyDescent="0.3">
      <c r="A183" s="40" t="s">
        <v>261</v>
      </c>
      <c r="B183" s="16" t="s">
        <v>313</v>
      </c>
      <c r="C183" s="52" t="s">
        <v>314</v>
      </c>
      <c r="D183" s="26" t="s">
        <v>41</v>
      </c>
      <c r="E183" s="106" t="s">
        <v>1415</v>
      </c>
      <c r="F183" s="106" t="s">
        <v>1274</v>
      </c>
      <c r="G183" s="106"/>
    </row>
    <row r="184" spans="1:7" ht="57.6" x14ac:dyDescent="0.3">
      <c r="A184" s="38" t="s">
        <v>261</v>
      </c>
      <c r="B184" s="20" t="s">
        <v>313</v>
      </c>
      <c r="C184" s="49" t="s">
        <v>315</v>
      </c>
      <c r="D184" s="27" t="s">
        <v>45</v>
      </c>
      <c r="E184" s="68" t="s">
        <v>1416</v>
      </c>
      <c r="F184" s="106" t="s">
        <v>1274</v>
      </c>
      <c r="G184" s="68"/>
    </row>
    <row r="185" spans="1:7" ht="43.2" x14ac:dyDescent="0.3">
      <c r="A185" s="38" t="s">
        <v>261</v>
      </c>
      <c r="B185" s="20" t="s">
        <v>313</v>
      </c>
      <c r="C185" s="49" t="s">
        <v>316</v>
      </c>
      <c r="D185" s="27" t="s">
        <v>1176</v>
      </c>
      <c r="E185" s="68" t="s">
        <v>1417</v>
      </c>
      <c r="F185" s="106" t="s">
        <v>1274</v>
      </c>
      <c r="G185" s="68"/>
    </row>
    <row r="186" spans="1:7" ht="72" x14ac:dyDescent="0.3">
      <c r="A186" s="115" t="s">
        <v>261</v>
      </c>
      <c r="B186" s="116" t="s">
        <v>313</v>
      </c>
      <c r="C186" s="117" t="s">
        <v>1843</v>
      </c>
      <c r="D186" s="118" t="s">
        <v>45</v>
      </c>
      <c r="E186" s="87" t="s">
        <v>1248</v>
      </c>
      <c r="F186" s="87" t="s">
        <v>1247</v>
      </c>
      <c r="G186" s="87"/>
    </row>
    <row r="187" spans="1:7" ht="72" x14ac:dyDescent="0.3">
      <c r="A187" s="115" t="s">
        <v>261</v>
      </c>
      <c r="B187" s="116" t="s">
        <v>313</v>
      </c>
      <c r="C187" s="117" t="s">
        <v>1844</v>
      </c>
      <c r="D187" s="118" t="s">
        <v>1176</v>
      </c>
      <c r="E187" s="87" t="s">
        <v>1249</v>
      </c>
      <c r="F187" s="87" t="s">
        <v>1247</v>
      </c>
      <c r="G187" s="87"/>
    </row>
    <row r="188" spans="1:7" ht="57.6" x14ac:dyDescent="0.3">
      <c r="A188" s="45" t="s">
        <v>261</v>
      </c>
      <c r="B188" s="76" t="s">
        <v>313</v>
      </c>
      <c r="C188" s="81" t="s">
        <v>317</v>
      </c>
      <c r="D188" s="78" t="s">
        <v>45</v>
      </c>
      <c r="E188" s="109" t="s">
        <v>1418</v>
      </c>
      <c r="F188" s="110" t="s">
        <v>1275</v>
      </c>
      <c r="G188" s="109"/>
    </row>
    <row r="189" spans="1:7" ht="72" x14ac:dyDescent="0.3">
      <c r="A189" s="20" t="s">
        <v>261</v>
      </c>
      <c r="B189" s="20" t="s">
        <v>313</v>
      </c>
      <c r="C189" s="49" t="s">
        <v>318</v>
      </c>
      <c r="D189" s="27" t="s">
        <v>1176</v>
      </c>
      <c r="E189" s="68" t="s">
        <v>1419</v>
      </c>
      <c r="F189" s="110" t="s">
        <v>1275</v>
      </c>
      <c r="G189" s="68"/>
    </row>
    <row r="190" spans="1:7" ht="57.6" x14ac:dyDescent="0.3">
      <c r="A190" s="20" t="s">
        <v>261</v>
      </c>
      <c r="B190" s="20" t="s">
        <v>313</v>
      </c>
      <c r="C190" s="49" t="s">
        <v>319</v>
      </c>
      <c r="D190" s="27" t="s">
        <v>45</v>
      </c>
      <c r="E190" s="68" t="s">
        <v>1420</v>
      </c>
      <c r="F190" s="110" t="s">
        <v>1275</v>
      </c>
      <c r="G190" s="68"/>
    </row>
    <row r="191" spans="1:7" ht="57.6" x14ac:dyDescent="0.3">
      <c r="A191" s="38" t="s">
        <v>261</v>
      </c>
      <c r="B191" s="20" t="s">
        <v>313</v>
      </c>
      <c r="C191" s="49" t="s">
        <v>320</v>
      </c>
      <c r="D191" s="27" t="s">
        <v>1176</v>
      </c>
      <c r="E191" s="68" t="s">
        <v>1421</v>
      </c>
      <c r="F191" s="110" t="s">
        <v>1275</v>
      </c>
      <c r="G191" s="68"/>
    </row>
    <row r="192" spans="1:7" ht="57.6" x14ac:dyDescent="0.3">
      <c r="A192" s="38" t="s">
        <v>261</v>
      </c>
      <c r="B192" s="20" t="s">
        <v>313</v>
      </c>
      <c r="C192" s="49" t="s">
        <v>321</v>
      </c>
      <c r="D192" s="27" t="s">
        <v>41</v>
      </c>
      <c r="E192" s="68" t="s">
        <v>1422</v>
      </c>
      <c r="F192" s="110" t="s">
        <v>1275</v>
      </c>
      <c r="G192" s="68"/>
    </row>
    <row r="193" spans="1:7" ht="57.6" x14ac:dyDescent="0.3">
      <c r="A193" s="38" t="s">
        <v>261</v>
      </c>
      <c r="B193" s="20" t="s">
        <v>313</v>
      </c>
      <c r="C193" s="49" t="s">
        <v>323</v>
      </c>
      <c r="D193" s="27" t="s">
        <v>45</v>
      </c>
      <c r="E193" s="68" t="s">
        <v>1423</v>
      </c>
      <c r="F193" s="110" t="s">
        <v>1275</v>
      </c>
      <c r="G193" s="68"/>
    </row>
    <row r="194" spans="1:7" ht="72" x14ac:dyDescent="0.3">
      <c r="A194" s="38" t="s">
        <v>261</v>
      </c>
      <c r="B194" s="20" t="s">
        <v>313</v>
      </c>
      <c r="C194" s="49" t="s">
        <v>324</v>
      </c>
      <c r="D194" s="27" t="s">
        <v>1176</v>
      </c>
      <c r="E194" s="68" t="s">
        <v>1424</v>
      </c>
      <c r="F194" s="110" t="s">
        <v>1275</v>
      </c>
      <c r="G194" s="68"/>
    </row>
    <row r="195" spans="1:7" ht="57.6" x14ac:dyDescent="0.3">
      <c r="A195" s="38" t="s">
        <v>261</v>
      </c>
      <c r="B195" s="20" t="s">
        <v>313</v>
      </c>
      <c r="C195" s="49" t="s">
        <v>1166</v>
      </c>
      <c r="D195" s="27" t="s">
        <v>1176</v>
      </c>
      <c r="E195" s="68" t="s">
        <v>1425</v>
      </c>
      <c r="F195" s="110" t="s">
        <v>1275</v>
      </c>
      <c r="G195" s="68"/>
    </row>
    <row r="196" spans="1:7" ht="43.2" x14ac:dyDescent="0.3">
      <c r="A196" s="38" t="s">
        <v>261</v>
      </c>
      <c r="B196" s="20" t="s">
        <v>313</v>
      </c>
      <c r="C196" s="49" t="s">
        <v>325</v>
      </c>
      <c r="D196" s="27" t="s">
        <v>45</v>
      </c>
      <c r="E196" s="68" t="s">
        <v>1426</v>
      </c>
      <c r="F196" s="68" t="s">
        <v>322</v>
      </c>
      <c r="G196" s="68"/>
    </row>
    <row r="197" spans="1:7" ht="43.2" x14ac:dyDescent="0.3">
      <c r="A197" s="38" t="s">
        <v>261</v>
      </c>
      <c r="B197" s="20" t="s">
        <v>313</v>
      </c>
      <c r="C197" s="49" t="s">
        <v>326</v>
      </c>
      <c r="D197" s="27" t="s">
        <v>1176</v>
      </c>
      <c r="E197" s="68" t="s">
        <v>1427</v>
      </c>
      <c r="F197" s="68" t="s">
        <v>322</v>
      </c>
      <c r="G197" s="68"/>
    </row>
    <row r="198" spans="1:7" ht="57.6" x14ac:dyDescent="0.3">
      <c r="A198" s="38" t="s">
        <v>261</v>
      </c>
      <c r="B198" s="20" t="s">
        <v>313</v>
      </c>
      <c r="C198" s="49" t="s">
        <v>1167</v>
      </c>
      <c r="D198" s="27" t="s">
        <v>1176</v>
      </c>
      <c r="E198" s="68" t="s">
        <v>1428</v>
      </c>
      <c r="F198" s="68" t="s">
        <v>322</v>
      </c>
      <c r="G198" s="68"/>
    </row>
    <row r="199" spans="1:7" ht="43.2" x14ac:dyDescent="0.3">
      <c r="A199" s="38" t="s">
        <v>261</v>
      </c>
      <c r="B199" s="20" t="s">
        <v>313</v>
      </c>
      <c r="C199" s="49" t="s">
        <v>327</v>
      </c>
      <c r="D199" s="27" t="s">
        <v>45</v>
      </c>
      <c r="E199" s="68" t="s">
        <v>1429</v>
      </c>
      <c r="F199" s="68" t="s">
        <v>322</v>
      </c>
      <c r="G199" s="68"/>
    </row>
    <row r="200" spans="1:7" ht="43.2" x14ac:dyDescent="0.3">
      <c r="A200" s="38" t="s">
        <v>261</v>
      </c>
      <c r="B200" s="20" t="s">
        <v>313</v>
      </c>
      <c r="C200" s="49" t="s">
        <v>329</v>
      </c>
      <c r="D200" s="27" t="s">
        <v>1176</v>
      </c>
      <c r="E200" s="68" t="s">
        <v>1430</v>
      </c>
      <c r="F200" s="68" t="s">
        <v>322</v>
      </c>
      <c r="G200" s="68"/>
    </row>
    <row r="201" spans="1:7" ht="43.2" x14ac:dyDescent="0.3">
      <c r="A201" s="38" t="s">
        <v>261</v>
      </c>
      <c r="B201" s="20" t="s">
        <v>313</v>
      </c>
      <c r="C201" s="49" t="s">
        <v>331</v>
      </c>
      <c r="D201" s="27" t="s">
        <v>45</v>
      </c>
      <c r="E201" s="14" t="s">
        <v>328</v>
      </c>
      <c r="F201" s="14" t="s">
        <v>71</v>
      </c>
      <c r="G201" s="68" t="s">
        <v>51</v>
      </c>
    </row>
    <row r="202" spans="1:7" ht="43.2" x14ac:dyDescent="0.3">
      <c r="A202" s="38" t="s">
        <v>261</v>
      </c>
      <c r="B202" s="20" t="s">
        <v>313</v>
      </c>
      <c r="C202" s="49" t="s">
        <v>333</v>
      </c>
      <c r="D202" s="27" t="s">
        <v>1176</v>
      </c>
      <c r="E202" s="14" t="s">
        <v>330</v>
      </c>
      <c r="F202" s="14" t="s">
        <v>71</v>
      </c>
      <c r="G202" s="68" t="s">
        <v>51</v>
      </c>
    </row>
    <row r="203" spans="1:7" ht="43.2" x14ac:dyDescent="0.3">
      <c r="A203" s="38" t="s">
        <v>261</v>
      </c>
      <c r="B203" s="20" t="s">
        <v>313</v>
      </c>
      <c r="C203" s="49" t="s">
        <v>336</v>
      </c>
      <c r="D203" s="27" t="s">
        <v>41</v>
      </c>
      <c r="E203" s="14" t="s">
        <v>332</v>
      </c>
      <c r="F203" s="14" t="s">
        <v>71</v>
      </c>
      <c r="G203" s="68" t="s">
        <v>51</v>
      </c>
    </row>
    <row r="204" spans="1:7" ht="43.2" x14ac:dyDescent="0.3">
      <c r="A204" s="38" t="s">
        <v>261</v>
      </c>
      <c r="B204" s="20" t="s">
        <v>313</v>
      </c>
      <c r="C204" s="49" t="s">
        <v>337</v>
      </c>
      <c r="D204" s="27" t="s">
        <v>45</v>
      </c>
      <c r="E204" s="14" t="s">
        <v>334</v>
      </c>
      <c r="F204" s="68" t="s">
        <v>1275</v>
      </c>
      <c r="G204" s="68"/>
    </row>
    <row r="205" spans="1:7" ht="49.5" customHeight="1" x14ac:dyDescent="0.3">
      <c r="A205" s="38" t="s">
        <v>261</v>
      </c>
      <c r="B205" s="20" t="s">
        <v>313</v>
      </c>
      <c r="C205" s="49" t="s">
        <v>338</v>
      </c>
      <c r="D205" s="27" t="s">
        <v>1176</v>
      </c>
      <c r="E205" s="14" t="s">
        <v>335</v>
      </c>
      <c r="F205" s="68" t="s">
        <v>1275</v>
      </c>
      <c r="G205" s="68" t="s">
        <v>51</v>
      </c>
    </row>
    <row r="206" spans="1:7" ht="57.6" x14ac:dyDescent="0.3">
      <c r="A206" s="38" t="s">
        <v>261</v>
      </c>
      <c r="B206" s="20" t="s">
        <v>313</v>
      </c>
      <c r="C206" s="49" t="s">
        <v>339</v>
      </c>
      <c r="D206" s="27" t="s">
        <v>45</v>
      </c>
      <c r="E206" s="68" t="s">
        <v>1431</v>
      </c>
      <c r="F206" s="68" t="s">
        <v>322</v>
      </c>
      <c r="G206" s="68"/>
    </row>
    <row r="207" spans="1:7" ht="43.2" x14ac:dyDescent="0.3">
      <c r="A207" s="38" t="s">
        <v>261</v>
      </c>
      <c r="B207" s="20" t="s">
        <v>313</v>
      </c>
      <c r="C207" s="49" t="s">
        <v>340</v>
      </c>
      <c r="D207" s="27" t="s">
        <v>1176</v>
      </c>
      <c r="E207" s="68" t="s">
        <v>1432</v>
      </c>
      <c r="F207" s="68" t="s">
        <v>322</v>
      </c>
      <c r="G207" s="68"/>
    </row>
    <row r="208" spans="1:7" ht="57.6" x14ac:dyDescent="0.3">
      <c r="A208" s="38" t="s">
        <v>261</v>
      </c>
      <c r="B208" s="20" t="s">
        <v>313</v>
      </c>
      <c r="C208" s="49" t="s">
        <v>1168</v>
      </c>
      <c r="D208" s="27" t="s">
        <v>1176</v>
      </c>
      <c r="E208" s="68" t="s">
        <v>1433</v>
      </c>
      <c r="F208" s="68" t="s">
        <v>322</v>
      </c>
      <c r="G208" s="68"/>
    </row>
    <row r="209" spans="1:7" s="119" customFormat="1" ht="57.6" x14ac:dyDescent="0.3">
      <c r="A209" s="115" t="s">
        <v>261</v>
      </c>
      <c r="B209" s="116" t="s">
        <v>313</v>
      </c>
      <c r="C209" s="120" t="s">
        <v>1845</v>
      </c>
      <c r="D209" s="118" t="s">
        <v>45</v>
      </c>
      <c r="E209" s="87" t="s">
        <v>1434</v>
      </c>
      <c r="F209" s="87" t="s">
        <v>1250</v>
      </c>
      <c r="G209" s="87"/>
    </row>
    <row r="210" spans="1:7" s="119" customFormat="1" ht="57.6" x14ac:dyDescent="0.3">
      <c r="A210" s="115" t="s">
        <v>261</v>
      </c>
      <c r="B210" s="116" t="s">
        <v>313</v>
      </c>
      <c r="C210" s="120" t="s">
        <v>1846</v>
      </c>
      <c r="D210" s="118" t="s">
        <v>1176</v>
      </c>
      <c r="E210" s="87" t="s">
        <v>1435</v>
      </c>
      <c r="F210" s="87" t="s">
        <v>1250</v>
      </c>
      <c r="G210" s="87"/>
    </row>
    <row r="211" spans="1:7" s="119" customFormat="1" ht="43.2" x14ac:dyDescent="0.3">
      <c r="A211" s="115" t="s">
        <v>261</v>
      </c>
      <c r="B211" s="116" t="s">
        <v>313</v>
      </c>
      <c r="C211" s="120" t="s">
        <v>1847</v>
      </c>
      <c r="D211" s="118" t="s">
        <v>41</v>
      </c>
      <c r="E211" s="87" t="s">
        <v>1436</v>
      </c>
      <c r="F211" s="87" t="s">
        <v>1250</v>
      </c>
      <c r="G211" s="87"/>
    </row>
    <row r="212" spans="1:7" s="119" customFormat="1" ht="43.2" x14ac:dyDescent="0.3">
      <c r="A212" s="115" t="s">
        <v>261</v>
      </c>
      <c r="B212" s="116" t="s">
        <v>313</v>
      </c>
      <c r="C212" s="120" t="s">
        <v>1848</v>
      </c>
      <c r="D212" s="118" t="s">
        <v>45</v>
      </c>
      <c r="E212" s="87" t="s">
        <v>1437</v>
      </c>
      <c r="F212" s="87" t="s">
        <v>1250</v>
      </c>
      <c r="G212" s="87"/>
    </row>
    <row r="213" spans="1:7" s="119" customFormat="1" ht="43.2" x14ac:dyDescent="0.3">
      <c r="A213" s="115" t="s">
        <v>261</v>
      </c>
      <c r="B213" s="116" t="s">
        <v>313</v>
      </c>
      <c r="C213" s="120" t="s">
        <v>1849</v>
      </c>
      <c r="D213" s="118" t="s">
        <v>1176</v>
      </c>
      <c r="E213" s="87" t="s">
        <v>1438</v>
      </c>
      <c r="F213" s="87" t="s">
        <v>1250</v>
      </c>
      <c r="G213" s="87"/>
    </row>
    <row r="214" spans="1:7" s="119" customFormat="1" ht="86.4" x14ac:dyDescent="0.3">
      <c r="A214" s="115" t="s">
        <v>261</v>
      </c>
      <c r="B214" s="116" t="s">
        <v>313</v>
      </c>
      <c r="C214" s="120" t="s">
        <v>1850</v>
      </c>
      <c r="D214" s="118" t="s">
        <v>45</v>
      </c>
      <c r="E214" s="87" t="s">
        <v>1439</v>
      </c>
      <c r="F214" s="87" t="s">
        <v>1146</v>
      </c>
      <c r="G214" s="87"/>
    </row>
    <row r="215" spans="1:7" s="119" customFormat="1" ht="72" x14ac:dyDescent="0.3">
      <c r="A215" s="115" t="s">
        <v>261</v>
      </c>
      <c r="B215" s="116" t="s">
        <v>313</v>
      </c>
      <c r="C215" s="120" t="s">
        <v>1851</v>
      </c>
      <c r="D215" s="118" t="s">
        <v>1176</v>
      </c>
      <c r="E215" s="87" t="s">
        <v>1440</v>
      </c>
      <c r="F215" s="87" t="s">
        <v>1146</v>
      </c>
      <c r="G215" s="87"/>
    </row>
    <row r="216" spans="1:7" ht="86.4" x14ac:dyDescent="0.3">
      <c r="A216" s="38" t="s">
        <v>261</v>
      </c>
      <c r="B216" s="20" t="s">
        <v>313</v>
      </c>
      <c r="C216" s="49" t="s">
        <v>1169</v>
      </c>
      <c r="D216" s="27" t="s">
        <v>41</v>
      </c>
      <c r="E216" s="68" t="s">
        <v>1441</v>
      </c>
      <c r="F216" s="68" t="s">
        <v>1146</v>
      </c>
      <c r="G216" s="68"/>
    </row>
    <row r="217" spans="1:7" ht="72" x14ac:dyDescent="0.3">
      <c r="A217" s="38" t="s">
        <v>261</v>
      </c>
      <c r="B217" s="20" t="s">
        <v>313</v>
      </c>
      <c r="C217" s="49" t="s">
        <v>1170</v>
      </c>
      <c r="D217" s="27" t="s">
        <v>45</v>
      </c>
      <c r="E217" s="68" t="s">
        <v>1442</v>
      </c>
      <c r="F217" s="68" t="s">
        <v>1146</v>
      </c>
      <c r="G217" s="68"/>
    </row>
    <row r="218" spans="1:7" ht="72.599999999999994" thickBot="1" x14ac:dyDescent="0.35">
      <c r="A218" s="63" t="s">
        <v>261</v>
      </c>
      <c r="B218" s="64" t="s">
        <v>313</v>
      </c>
      <c r="C218" s="75" t="s">
        <v>1171</v>
      </c>
      <c r="D218" s="66" t="s">
        <v>1176</v>
      </c>
      <c r="E218" s="107" t="s">
        <v>1443</v>
      </c>
      <c r="F218" s="107" t="s">
        <v>1146</v>
      </c>
      <c r="G218" s="107"/>
    </row>
    <row r="219" spans="1:7" ht="102" customHeight="1" x14ac:dyDescent="0.3">
      <c r="A219" s="40" t="s">
        <v>341</v>
      </c>
      <c r="B219" s="16" t="s">
        <v>342</v>
      </c>
      <c r="C219" s="52" t="s">
        <v>343</v>
      </c>
      <c r="D219" s="27" t="s">
        <v>41</v>
      </c>
      <c r="E219" s="106" t="s">
        <v>1444</v>
      </c>
      <c r="F219" s="106" t="s">
        <v>1276</v>
      </c>
      <c r="G219" s="106" t="s">
        <v>51</v>
      </c>
    </row>
    <row r="220" spans="1:7" ht="115.2" x14ac:dyDescent="0.3">
      <c r="A220" s="47" t="s">
        <v>341</v>
      </c>
      <c r="B220" s="48" t="s">
        <v>342</v>
      </c>
      <c r="C220" s="53" t="s">
        <v>344</v>
      </c>
      <c r="D220" s="27" t="s">
        <v>41</v>
      </c>
      <c r="E220" s="87" t="s">
        <v>1445</v>
      </c>
      <c r="F220" s="106" t="s">
        <v>1277</v>
      </c>
      <c r="G220" s="87"/>
    </row>
    <row r="221" spans="1:7" ht="86.4" x14ac:dyDescent="0.3">
      <c r="A221" s="38" t="s">
        <v>341</v>
      </c>
      <c r="B221" s="20" t="s">
        <v>342</v>
      </c>
      <c r="C221" s="49" t="s">
        <v>345</v>
      </c>
      <c r="D221" s="27" t="s">
        <v>45</v>
      </c>
      <c r="E221" s="68" t="s">
        <v>1446</v>
      </c>
      <c r="F221" s="68" t="s">
        <v>1278</v>
      </c>
      <c r="G221" s="68" t="s">
        <v>51</v>
      </c>
    </row>
    <row r="222" spans="1:7" ht="57.6" x14ac:dyDescent="0.3">
      <c r="A222" s="38" t="s">
        <v>341</v>
      </c>
      <c r="B222" s="20" t="s">
        <v>342</v>
      </c>
      <c r="C222" s="49" t="s">
        <v>346</v>
      </c>
      <c r="D222" s="27" t="s">
        <v>1176</v>
      </c>
      <c r="E222" s="68" t="s">
        <v>1447</v>
      </c>
      <c r="F222" s="68" t="s">
        <v>1278</v>
      </c>
      <c r="G222" s="68"/>
    </row>
    <row r="223" spans="1:7" ht="72" x14ac:dyDescent="0.3">
      <c r="A223" s="38" t="s">
        <v>341</v>
      </c>
      <c r="B223" s="20" t="s">
        <v>342</v>
      </c>
      <c r="C223" s="49" t="s">
        <v>347</v>
      </c>
      <c r="D223" s="27" t="s">
        <v>45</v>
      </c>
      <c r="E223" s="68" t="s">
        <v>1448</v>
      </c>
      <c r="F223" s="14" t="s">
        <v>184</v>
      </c>
      <c r="G223" s="68"/>
    </row>
    <row r="224" spans="1:7" ht="72" x14ac:dyDescent="0.3">
      <c r="A224" s="38" t="s">
        <v>341</v>
      </c>
      <c r="B224" s="20" t="s">
        <v>342</v>
      </c>
      <c r="C224" s="49" t="s">
        <v>348</v>
      </c>
      <c r="D224" s="27" t="s">
        <v>1176</v>
      </c>
      <c r="E224" s="68" t="s">
        <v>1449</v>
      </c>
      <c r="F224" s="14" t="s">
        <v>184</v>
      </c>
      <c r="G224" s="68"/>
    </row>
    <row r="225" spans="1:7" ht="57.6" x14ac:dyDescent="0.3">
      <c r="A225" s="47" t="s">
        <v>341</v>
      </c>
      <c r="B225" s="48" t="s">
        <v>342</v>
      </c>
      <c r="C225" s="53" t="s">
        <v>349</v>
      </c>
      <c r="D225" s="27" t="s">
        <v>45</v>
      </c>
      <c r="E225" s="87" t="s">
        <v>1450</v>
      </c>
      <c r="F225" s="68" t="s">
        <v>1276</v>
      </c>
      <c r="G225" s="87"/>
    </row>
    <row r="226" spans="1:7" ht="72" x14ac:dyDescent="0.3">
      <c r="A226" s="47" t="s">
        <v>341</v>
      </c>
      <c r="B226" s="48" t="s">
        <v>342</v>
      </c>
      <c r="C226" s="53" t="s">
        <v>350</v>
      </c>
      <c r="D226" s="27" t="s">
        <v>1176</v>
      </c>
      <c r="E226" s="87" t="s">
        <v>1451</v>
      </c>
      <c r="F226" s="68" t="s">
        <v>1277</v>
      </c>
      <c r="G226" s="87"/>
    </row>
    <row r="227" spans="1:7" ht="57.6" x14ac:dyDescent="0.3">
      <c r="A227" s="47" t="s">
        <v>341</v>
      </c>
      <c r="B227" s="48" t="s">
        <v>342</v>
      </c>
      <c r="C227" s="53" t="s">
        <v>351</v>
      </c>
      <c r="D227" s="27" t="s">
        <v>41</v>
      </c>
      <c r="E227" s="87" t="s">
        <v>1452</v>
      </c>
      <c r="F227" s="14" t="s">
        <v>352</v>
      </c>
      <c r="G227" s="87"/>
    </row>
    <row r="228" spans="1:7" ht="57.6" x14ac:dyDescent="0.3">
      <c r="A228" s="47" t="s">
        <v>341</v>
      </c>
      <c r="B228" s="48" t="s">
        <v>342</v>
      </c>
      <c r="C228" s="53" t="s">
        <v>353</v>
      </c>
      <c r="D228" s="27" t="s">
        <v>45</v>
      </c>
      <c r="E228" s="87" t="s">
        <v>1453</v>
      </c>
      <c r="F228" s="14" t="s">
        <v>352</v>
      </c>
      <c r="G228" s="87"/>
    </row>
    <row r="229" spans="1:7" ht="43.2" x14ac:dyDescent="0.3">
      <c r="A229" s="47" t="s">
        <v>341</v>
      </c>
      <c r="B229" s="48" t="s">
        <v>342</v>
      </c>
      <c r="C229" s="53" t="s">
        <v>354</v>
      </c>
      <c r="D229" s="27" t="s">
        <v>1176</v>
      </c>
      <c r="E229" s="41" t="s">
        <v>355</v>
      </c>
      <c r="F229" s="14" t="s">
        <v>352</v>
      </c>
      <c r="G229" s="87"/>
    </row>
    <row r="230" spans="1:7" ht="72" x14ac:dyDescent="0.3">
      <c r="A230" s="38" t="s">
        <v>341</v>
      </c>
      <c r="B230" s="20" t="s">
        <v>342</v>
      </c>
      <c r="C230" s="49" t="s">
        <v>356</v>
      </c>
      <c r="D230" s="27" t="s">
        <v>41</v>
      </c>
      <c r="E230" s="68" t="s">
        <v>1454</v>
      </c>
      <c r="F230" s="68" t="s">
        <v>357</v>
      </c>
      <c r="G230" s="68"/>
    </row>
    <row r="231" spans="1:7" ht="43.2" x14ac:dyDescent="0.3">
      <c r="A231" s="38" t="s">
        <v>341</v>
      </c>
      <c r="B231" s="20" t="s">
        <v>342</v>
      </c>
      <c r="C231" s="49" t="s">
        <v>358</v>
      </c>
      <c r="D231" s="27" t="s">
        <v>45</v>
      </c>
      <c r="E231" s="68" t="s">
        <v>1455</v>
      </c>
      <c r="F231" s="68" t="s">
        <v>357</v>
      </c>
      <c r="G231" s="68"/>
    </row>
    <row r="232" spans="1:7" ht="43.2" x14ac:dyDescent="0.3">
      <c r="A232" s="38" t="s">
        <v>341</v>
      </c>
      <c r="B232" s="20" t="s">
        <v>342</v>
      </c>
      <c r="C232" s="49" t="s">
        <v>359</v>
      </c>
      <c r="D232" s="27" t="s">
        <v>1176</v>
      </c>
      <c r="E232" s="68" t="s">
        <v>1456</v>
      </c>
      <c r="F232" s="68" t="s">
        <v>357</v>
      </c>
      <c r="G232" s="68"/>
    </row>
    <row r="233" spans="1:7" ht="57.6" x14ac:dyDescent="0.3">
      <c r="A233" s="38" t="s">
        <v>341</v>
      </c>
      <c r="B233" s="20" t="s">
        <v>342</v>
      </c>
      <c r="C233" s="49" t="s">
        <v>360</v>
      </c>
      <c r="D233" s="27" t="s">
        <v>1176</v>
      </c>
      <c r="E233" s="14" t="s">
        <v>361</v>
      </c>
      <c r="F233" s="68" t="s">
        <v>362</v>
      </c>
      <c r="G233" s="68"/>
    </row>
    <row r="234" spans="1:7" ht="72" x14ac:dyDescent="0.3">
      <c r="A234" s="38" t="s">
        <v>341</v>
      </c>
      <c r="B234" s="20" t="s">
        <v>342</v>
      </c>
      <c r="C234" s="49" t="s">
        <v>363</v>
      </c>
      <c r="D234" s="27" t="s">
        <v>45</v>
      </c>
      <c r="E234" s="68" t="s">
        <v>1457</v>
      </c>
      <c r="F234" s="68" t="s">
        <v>1279</v>
      </c>
      <c r="G234" s="68"/>
    </row>
    <row r="235" spans="1:7" ht="57.6" x14ac:dyDescent="0.3">
      <c r="A235" s="38" t="s">
        <v>341</v>
      </c>
      <c r="B235" s="20" t="s">
        <v>342</v>
      </c>
      <c r="C235" s="49" t="s">
        <v>364</v>
      </c>
      <c r="D235" s="27" t="s">
        <v>1176</v>
      </c>
      <c r="E235" s="68" t="s">
        <v>1458</v>
      </c>
      <c r="F235" s="68" t="s">
        <v>1277</v>
      </c>
      <c r="G235" s="68"/>
    </row>
    <row r="236" spans="1:7" ht="43.2" x14ac:dyDescent="0.3">
      <c r="A236" s="20" t="s">
        <v>341</v>
      </c>
      <c r="B236" s="20" t="s">
        <v>342</v>
      </c>
      <c r="C236" s="49" t="s">
        <v>365</v>
      </c>
      <c r="D236" s="27" t="s">
        <v>1176</v>
      </c>
      <c r="E236" s="68" t="s">
        <v>1459</v>
      </c>
      <c r="F236" s="14" t="s">
        <v>184</v>
      </c>
      <c r="G236" s="68"/>
    </row>
    <row r="237" spans="1:7" ht="57.6" x14ac:dyDescent="0.3">
      <c r="A237" s="40" t="s">
        <v>341</v>
      </c>
      <c r="B237" s="16" t="s">
        <v>342</v>
      </c>
      <c r="C237" s="52" t="s">
        <v>366</v>
      </c>
      <c r="D237" s="26" t="s">
        <v>45</v>
      </c>
      <c r="E237" s="11" t="s">
        <v>367</v>
      </c>
      <c r="F237" s="11" t="s">
        <v>71</v>
      </c>
      <c r="G237" s="106"/>
    </row>
    <row r="238" spans="1:7" ht="43.2" x14ac:dyDescent="0.3">
      <c r="A238" s="38" t="s">
        <v>341</v>
      </c>
      <c r="B238" s="20" t="s">
        <v>342</v>
      </c>
      <c r="C238" s="49" t="s">
        <v>368</v>
      </c>
      <c r="D238" s="27" t="s">
        <v>1176</v>
      </c>
      <c r="E238" s="14" t="s">
        <v>369</v>
      </c>
      <c r="F238" s="14" t="s">
        <v>71</v>
      </c>
      <c r="G238" s="68"/>
    </row>
    <row r="239" spans="1:7" ht="72" x14ac:dyDescent="0.3">
      <c r="A239" s="38" t="s">
        <v>341</v>
      </c>
      <c r="B239" s="20" t="s">
        <v>342</v>
      </c>
      <c r="C239" s="49" t="s">
        <v>370</v>
      </c>
      <c r="D239" s="27" t="s">
        <v>45</v>
      </c>
      <c r="E239" s="14" t="s">
        <v>371</v>
      </c>
      <c r="F239" s="14" t="s">
        <v>299</v>
      </c>
      <c r="G239" s="68"/>
    </row>
    <row r="240" spans="1:7" ht="72" x14ac:dyDescent="0.3">
      <c r="A240" s="38" t="s">
        <v>341</v>
      </c>
      <c r="B240" s="20" t="s">
        <v>342</v>
      </c>
      <c r="C240" s="49" t="s">
        <v>372</v>
      </c>
      <c r="D240" s="27" t="s">
        <v>1176</v>
      </c>
      <c r="E240" s="14" t="s">
        <v>373</v>
      </c>
      <c r="F240" s="14" t="s">
        <v>299</v>
      </c>
      <c r="G240" s="68"/>
    </row>
    <row r="241" spans="1:7" ht="57.6" x14ac:dyDescent="0.3">
      <c r="A241" s="38" t="s">
        <v>341</v>
      </c>
      <c r="B241" s="20" t="s">
        <v>342</v>
      </c>
      <c r="C241" s="49" t="s">
        <v>374</v>
      </c>
      <c r="D241" s="27" t="s">
        <v>45</v>
      </c>
      <c r="E241" s="68" t="s">
        <v>1460</v>
      </c>
      <c r="F241" s="68" t="s">
        <v>1277</v>
      </c>
      <c r="G241" s="68"/>
    </row>
    <row r="242" spans="1:7" ht="72.45" customHeight="1" x14ac:dyDescent="0.3">
      <c r="A242" s="38" t="s">
        <v>341</v>
      </c>
      <c r="B242" s="20" t="s">
        <v>342</v>
      </c>
      <c r="C242" s="49" t="s">
        <v>375</v>
      </c>
      <c r="D242" s="27" t="s">
        <v>1176</v>
      </c>
      <c r="E242" s="68" t="s">
        <v>1461</v>
      </c>
      <c r="F242" s="68" t="s">
        <v>1280</v>
      </c>
      <c r="G242" s="68"/>
    </row>
    <row r="243" spans="1:7" ht="43.2" x14ac:dyDescent="0.3">
      <c r="A243" s="38" t="s">
        <v>341</v>
      </c>
      <c r="B243" s="20" t="s">
        <v>342</v>
      </c>
      <c r="C243" s="49" t="s">
        <v>377</v>
      </c>
      <c r="D243" s="27" t="s">
        <v>45</v>
      </c>
      <c r="E243" s="68" t="s">
        <v>1462</v>
      </c>
      <c r="F243" s="14" t="s">
        <v>184</v>
      </c>
      <c r="G243" s="68"/>
    </row>
    <row r="244" spans="1:7" ht="43.2" x14ac:dyDescent="0.3">
      <c r="A244" s="38" t="s">
        <v>341</v>
      </c>
      <c r="B244" s="20" t="s">
        <v>342</v>
      </c>
      <c r="C244" s="49" t="s">
        <v>378</v>
      </c>
      <c r="D244" s="27" t="s">
        <v>1176</v>
      </c>
      <c r="E244" s="68" t="s">
        <v>1463</v>
      </c>
      <c r="F244" s="14" t="s">
        <v>184</v>
      </c>
      <c r="G244" s="68"/>
    </row>
    <row r="245" spans="1:7" ht="86.4" x14ac:dyDescent="0.3">
      <c r="A245" s="38" t="s">
        <v>341</v>
      </c>
      <c r="B245" s="20" t="s">
        <v>342</v>
      </c>
      <c r="C245" s="49" t="s">
        <v>379</v>
      </c>
      <c r="D245" s="27" t="s">
        <v>1176</v>
      </c>
      <c r="E245" s="68" t="s">
        <v>1464</v>
      </c>
      <c r="F245" s="68" t="s">
        <v>1281</v>
      </c>
      <c r="G245" s="68" t="s">
        <v>380</v>
      </c>
    </row>
    <row r="246" spans="1:7" ht="43.2" x14ac:dyDescent="0.3">
      <c r="A246" s="38" t="s">
        <v>341</v>
      </c>
      <c r="B246" s="20" t="s">
        <v>342</v>
      </c>
      <c r="C246" s="49" t="s">
        <v>381</v>
      </c>
      <c r="D246" s="27" t="s">
        <v>41</v>
      </c>
      <c r="E246" s="68" t="s">
        <v>1465</v>
      </c>
      <c r="F246" s="14" t="s">
        <v>71</v>
      </c>
      <c r="G246" s="68"/>
    </row>
    <row r="247" spans="1:7" ht="43.2" x14ac:dyDescent="0.3">
      <c r="A247" s="38" t="s">
        <v>341</v>
      </c>
      <c r="B247" s="20" t="s">
        <v>342</v>
      </c>
      <c r="C247" s="49" t="s">
        <v>382</v>
      </c>
      <c r="D247" s="27" t="s">
        <v>45</v>
      </c>
      <c r="E247" s="68" t="s">
        <v>1466</v>
      </c>
      <c r="F247" s="14" t="s">
        <v>71</v>
      </c>
      <c r="G247" s="68"/>
    </row>
    <row r="248" spans="1:7" ht="43.8" thickBot="1" x14ac:dyDescent="0.35">
      <c r="A248" s="63" t="s">
        <v>341</v>
      </c>
      <c r="B248" s="64" t="s">
        <v>342</v>
      </c>
      <c r="C248" s="75" t="s">
        <v>383</v>
      </c>
      <c r="D248" s="66" t="s">
        <v>1176</v>
      </c>
      <c r="E248" s="107" t="s">
        <v>1467</v>
      </c>
      <c r="F248" s="67" t="s">
        <v>71</v>
      </c>
      <c r="G248" s="107"/>
    </row>
    <row r="249" spans="1:7" ht="56.25" customHeight="1" x14ac:dyDescent="0.3">
      <c r="A249" s="40" t="s">
        <v>341</v>
      </c>
      <c r="B249" s="16" t="s">
        <v>384</v>
      </c>
      <c r="C249" s="52" t="s">
        <v>385</v>
      </c>
      <c r="D249" s="27" t="s">
        <v>41</v>
      </c>
      <c r="E249" s="106" t="s">
        <v>1468</v>
      </c>
      <c r="F249" s="106" t="s">
        <v>1282</v>
      </c>
      <c r="G249" s="106"/>
    </row>
    <row r="250" spans="1:7" ht="108.75" customHeight="1" x14ac:dyDescent="0.3">
      <c r="A250" s="38" t="s">
        <v>341</v>
      </c>
      <c r="B250" s="20" t="s">
        <v>384</v>
      </c>
      <c r="C250" s="49" t="s">
        <v>386</v>
      </c>
      <c r="D250" s="27" t="s">
        <v>41</v>
      </c>
      <c r="E250" s="68" t="s">
        <v>1469</v>
      </c>
      <c r="F250" s="68" t="s">
        <v>387</v>
      </c>
      <c r="G250" s="68"/>
    </row>
    <row r="251" spans="1:7" ht="80.25" customHeight="1" x14ac:dyDescent="0.3">
      <c r="A251" s="38" t="s">
        <v>341</v>
      </c>
      <c r="B251" s="20" t="s">
        <v>384</v>
      </c>
      <c r="C251" s="49" t="s">
        <v>388</v>
      </c>
      <c r="D251" s="27" t="s">
        <v>45</v>
      </c>
      <c r="E251" s="68" t="s">
        <v>1470</v>
      </c>
      <c r="F251" s="68" t="s">
        <v>1283</v>
      </c>
      <c r="G251" s="68" t="s">
        <v>51</v>
      </c>
    </row>
    <row r="252" spans="1:7" ht="60.75" customHeight="1" x14ac:dyDescent="0.3">
      <c r="A252" s="38" t="s">
        <v>341</v>
      </c>
      <c r="B252" s="20" t="s">
        <v>384</v>
      </c>
      <c r="C252" s="49" t="s">
        <v>389</v>
      </c>
      <c r="D252" s="27" t="s">
        <v>1176</v>
      </c>
      <c r="E252" s="68" t="s">
        <v>1471</v>
      </c>
      <c r="F252" s="68" t="s">
        <v>1282</v>
      </c>
      <c r="G252" s="68"/>
    </row>
    <row r="253" spans="1:7" ht="62.7" customHeight="1" x14ac:dyDescent="0.3">
      <c r="A253" s="38" t="s">
        <v>341</v>
      </c>
      <c r="B253" s="20" t="s">
        <v>384</v>
      </c>
      <c r="C253" s="49" t="s">
        <v>390</v>
      </c>
      <c r="D253" s="27" t="s">
        <v>1176</v>
      </c>
      <c r="E253" s="68" t="s">
        <v>1472</v>
      </c>
      <c r="F253" s="68" t="s">
        <v>1282</v>
      </c>
      <c r="G253" s="68"/>
    </row>
    <row r="254" spans="1:7" ht="66.45" customHeight="1" x14ac:dyDescent="0.3">
      <c r="A254" s="38" t="s">
        <v>341</v>
      </c>
      <c r="B254" s="20" t="s">
        <v>384</v>
      </c>
      <c r="C254" s="49" t="s">
        <v>391</v>
      </c>
      <c r="D254" s="27" t="s">
        <v>45</v>
      </c>
      <c r="E254" s="68" t="s">
        <v>1473</v>
      </c>
      <c r="F254" s="68" t="s">
        <v>1282</v>
      </c>
      <c r="G254" s="68"/>
    </row>
    <row r="255" spans="1:7" ht="68.25" customHeight="1" x14ac:dyDescent="0.3">
      <c r="A255" s="38" t="s">
        <v>341</v>
      </c>
      <c r="B255" s="20" t="s">
        <v>384</v>
      </c>
      <c r="C255" s="49" t="s">
        <v>392</v>
      </c>
      <c r="D255" s="27" t="s">
        <v>1176</v>
      </c>
      <c r="E255" s="68" t="s">
        <v>1474</v>
      </c>
      <c r="F255" s="68" t="s">
        <v>1282</v>
      </c>
      <c r="G255" s="68"/>
    </row>
    <row r="256" spans="1:7" ht="53.25" customHeight="1" x14ac:dyDescent="0.3">
      <c r="A256" s="38" t="s">
        <v>341</v>
      </c>
      <c r="B256" s="20" t="s">
        <v>384</v>
      </c>
      <c r="C256" s="49" t="s">
        <v>393</v>
      </c>
      <c r="D256" s="27" t="s">
        <v>41</v>
      </c>
      <c r="E256" s="68" t="s">
        <v>1475</v>
      </c>
      <c r="F256" s="68" t="s">
        <v>1282</v>
      </c>
      <c r="G256" s="68"/>
    </row>
    <row r="257" spans="1:7" ht="65.25" customHeight="1" x14ac:dyDescent="0.3">
      <c r="A257" s="38" t="s">
        <v>341</v>
      </c>
      <c r="B257" s="20" t="s">
        <v>384</v>
      </c>
      <c r="C257" s="49" t="s">
        <v>394</v>
      </c>
      <c r="D257" s="27" t="s">
        <v>45</v>
      </c>
      <c r="E257" s="68" t="s">
        <v>1476</v>
      </c>
      <c r="F257" s="68" t="s">
        <v>1282</v>
      </c>
      <c r="G257" s="68"/>
    </row>
    <row r="258" spans="1:7" ht="67.95" customHeight="1" x14ac:dyDescent="0.3">
      <c r="A258" s="38" t="s">
        <v>341</v>
      </c>
      <c r="B258" s="20" t="s">
        <v>384</v>
      </c>
      <c r="C258" s="49" t="s">
        <v>395</v>
      </c>
      <c r="D258" s="27" t="s">
        <v>1176</v>
      </c>
      <c r="E258" s="68" t="s">
        <v>1477</v>
      </c>
      <c r="F258" s="68" t="s">
        <v>1282</v>
      </c>
      <c r="G258" s="68"/>
    </row>
    <row r="259" spans="1:7" ht="72" x14ac:dyDescent="0.3">
      <c r="A259" s="38" t="s">
        <v>341</v>
      </c>
      <c r="B259" s="20" t="s">
        <v>384</v>
      </c>
      <c r="C259" s="49" t="s">
        <v>396</v>
      </c>
      <c r="D259" s="27" t="s">
        <v>45</v>
      </c>
      <c r="E259" s="68" t="s">
        <v>1478</v>
      </c>
      <c r="F259" s="14" t="s">
        <v>71</v>
      </c>
      <c r="G259" s="68" t="s">
        <v>397</v>
      </c>
    </row>
    <row r="260" spans="1:7" ht="72" x14ac:dyDescent="0.3">
      <c r="A260" s="38" t="s">
        <v>341</v>
      </c>
      <c r="B260" s="20" t="s">
        <v>384</v>
      </c>
      <c r="C260" s="49" t="s">
        <v>398</v>
      </c>
      <c r="D260" s="27" t="s">
        <v>1176</v>
      </c>
      <c r="E260" s="68" t="s">
        <v>1479</v>
      </c>
      <c r="F260" s="14" t="s">
        <v>71</v>
      </c>
      <c r="G260" s="68" t="s">
        <v>397</v>
      </c>
    </row>
    <row r="261" spans="1:7" ht="64.5" customHeight="1" x14ac:dyDescent="0.3">
      <c r="A261" s="38" t="s">
        <v>341</v>
      </c>
      <c r="B261" s="20" t="s">
        <v>384</v>
      </c>
      <c r="C261" s="49" t="s">
        <v>399</v>
      </c>
      <c r="D261" s="27" t="s">
        <v>41</v>
      </c>
      <c r="E261" s="68" t="s">
        <v>1480</v>
      </c>
      <c r="F261" s="68" t="s">
        <v>1282</v>
      </c>
      <c r="G261" s="68"/>
    </row>
    <row r="262" spans="1:7" ht="43.2" x14ac:dyDescent="0.3">
      <c r="A262" s="38" t="s">
        <v>341</v>
      </c>
      <c r="B262" s="20" t="s">
        <v>384</v>
      </c>
      <c r="C262" s="49" t="s">
        <v>400</v>
      </c>
      <c r="D262" s="27" t="s">
        <v>45</v>
      </c>
      <c r="E262" s="14" t="s">
        <v>401</v>
      </c>
      <c r="F262" s="14" t="s">
        <v>71</v>
      </c>
      <c r="G262" s="68" t="s">
        <v>397</v>
      </c>
    </row>
    <row r="263" spans="1:7" ht="43.2" x14ac:dyDescent="0.3">
      <c r="A263" s="38" t="s">
        <v>341</v>
      </c>
      <c r="B263" s="20" t="s">
        <v>384</v>
      </c>
      <c r="C263" s="49" t="s">
        <v>402</v>
      </c>
      <c r="D263" s="27" t="s">
        <v>1176</v>
      </c>
      <c r="E263" s="14" t="s">
        <v>403</v>
      </c>
      <c r="F263" s="14" t="s">
        <v>71</v>
      </c>
      <c r="G263" s="68" t="s">
        <v>397</v>
      </c>
    </row>
    <row r="264" spans="1:7" ht="78.45" customHeight="1" x14ac:dyDescent="0.3">
      <c r="A264" s="38" t="s">
        <v>341</v>
      </c>
      <c r="B264" s="20" t="s">
        <v>384</v>
      </c>
      <c r="C264" s="49" t="s">
        <v>404</v>
      </c>
      <c r="D264" s="27" t="s">
        <v>45</v>
      </c>
      <c r="E264" s="68" t="s">
        <v>1481</v>
      </c>
      <c r="F264" s="68" t="s">
        <v>1284</v>
      </c>
      <c r="G264" s="68"/>
    </row>
    <row r="265" spans="1:7" ht="73.95" customHeight="1" x14ac:dyDescent="0.3">
      <c r="A265" s="38" t="s">
        <v>341</v>
      </c>
      <c r="B265" s="20" t="s">
        <v>384</v>
      </c>
      <c r="C265" s="49" t="s">
        <v>405</v>
      </c>
      <c r="D265" s="27" t="s">
        <v>1176</v>
      </c>
      <c r="E265" s="68" t="s">
        <v>1482</v>
      </c>
      <c r="F265" s="68" t="s">
        <v>1284</v>
      </c>
      <c r="G265" s="68"/>
    </row>
    <row r="266" spans="1:7" ht="63.45" customHeight="1" x14ac:dyDescent="0.3">
      <c r="A266" s="38" t="s">
        <v>341</v>
      </c>
      <c r="B266" s="20" t="s">
        <v>384</v>
      </c>
      <c r="C266" s="49" t="s">
        <v>406</v>
      </c>
      <c r="D266" s="27" t="s">
        <v>1176</v>
      </c>
      <c r="E266" s="68" t="s">
        <v>1483</v>
      </c>
      <c r="F266" s="68" t="s">
        <v>1284</v>
      </c>
      <c r="G266" s="68"/>
    </row>
    <row r="267" spans="1:7" ht="65.25" customHeight="1" x14ac:dyDescent="0.3">
      <c r="A267" s="20" t="s">
        <v>341</v>
      </c>
      <c r="B267" s="20" t="s">
        <v>384</v>
      </c>
      <c r="C267" s="49" t="s">
        <v>407</v>
      </c>
      <c r="D267" s="27" t="s">
        <v>1176</v>
      </c>
      <c r="E267" s="68" t="s">
        <v>1484</v>
      </c>
      <c r="F267" s="68" t="s">
        <v>1284</v>
      </c>
      <c r="G267" s="68"/>
    </row>
    <row r="268" spans="1:7" ht="52.2" customHeight="1" x14ac:dyDescent="0.3">
      <c r="A268" s="40" t="s">
        <v>341</v>
      </c>
      <c r="B268" s="16" t="s">
        <v>384</v>
      </c>
      <c r="C268" s="52" t="s">
        <v>408</v>
      </c>
      <c r="D268" s="26" t="s">
        <v>41</v>
      </c>
      <c r="E268" s="106" t="s">
        <v>1485</v>
      </c>
      <c r="F268" s="106" t="s">
        <v>1284</v>
      </c>
      <c r="G268" s="106"/>
    </row>
    <row r="269" spans="1:7" ht="72.45" customHeight="1" x14ac:dyDescent="0.3">
      <c r="A269" s="38" t="s">
        <v>341</v>
      </c>
      <c r="B269" s="20" t="s">
        <v>384</v>
      </c>
      <c r="C269" s="49" t="s">
        <v>409</v>
      </c>
      <c r="D269" s="27" t="s">
        <v>45</v>
      </c>
      <c r="E269" s="68" t="s">
        <v>1486</v>
      </c>
      <c r="F269" s="68" t="s">
        <v>1284</v>
      </c>
      <c r="G269" s="68"/>
    </row>
    <row r="270" spans="1:7" ht="65.25" customHeight="1" x14ac:dyDescent="0.3">
      <c r="A270" s="38" t="s">
        <v>341</v>
      </c>
      <c r="B270" s="20" t="s">
        <v>384</v>
      </c>
      <c r="C270" s="49" t="s">
        <v>410</v>
      </c>
      <c r="D270" s="27" t="s">
        <v>1176</v>
      </c>
      <c r="E270" s="68" t="s">
        <v>1487</v>
      </c>
      <c r="F270" s="68" t="s">
        <v>1284</v>
      </c>
      <c r="G270" s="68"/>
    </row>
    <row r="271" spans="1:7" ht="67.2" customHeight="1" x14ac:dyDescent="0.3">
      <c r="A271" s="38" t="s">
        <v>341</v>
      </c>
      <c r="B271" s="20" t="s">
        <v>384</v>
      </c>
      <c r="C271" s="49" t="s">
        <v>411</v>
      </c>
      <c r="D271" s="27" t="s">
        <v>1176</v>
      </c>
      <c r="E271" s="68" t="s">
        <v>1488</v>
      </c>
      <c r="F271" s="68" t="s">
        <v>1284</v>
      </c>
      <c r="G271" s="68"/>
    </row>
    <row r="272" spans="1:7" ht="69" customHeight="1" x14ac:dyDescent="0.3">
      <c r="A272" s="38" t="s">
        <v>341</v>
      </c>
      <c r="B272" s="20" t="s">
        <v>384</v>
      </c>
      <c r="C272" s="49" t="s">
        <v>412</v>
      </c>
      <c r="D272" s="27" t="s">
        <v>41</v>
      </c>
      <c r="E272" s="68" t="s">
        <v>1489</v>
      </c>
      <c r="F272" s="68" t="s">
        <v>1284</v>
      </c>
      <c r="G272" s="68"/>
    </row>
    <row r="273" spans="1:7" ht="70.05" customHeight="1" x14ac:dyDescent="0.3">
      <c r="A273" s="38" t="s">
        <v>341</v>
      </c>
      <c r="B273" s="20" t="s">
        <v>384</v>
      </c>
      <c r="C273" s="49" t="s">
        <v>413</v>
      </c>
      <c r="D273" s="27" t="s">
        <v>45</v>
      </c>
      <c r="E273" s="68" t="s">
        <v>1490</v>
      </c>
      <c r="F273" s="68" t="s">
        <v>1284</v>
      </c>
      <c r="G273" s="68"/>
    </row>
    <row r="274" spans="1:7" ht="67.5" customHeight="1" x14ac:dyDescent="0.3">
      <c r="A274" s="38" t="s">
        <v>341</v>
      </c>
      <c r="B274" s="20" t="s">
        <v>384</v>
      </c>
      <c r="C274" s="49" t="s">
        <v>414</v>
      </c>
      <c r="D274" s="27" t="s">
        <v>1176</v>
      </c>
      <c r="E274" s="68" t="s">
        <v>1491</v>
      </c>
      <c r="F274" s="68" t="s">
        <v>1284</v>
      </c>
      <c r="G274" s="68"/>
    </row>
    <row r="275" spans="1:7" ht="67.2" customHeight="1" x14ac:dyDescent="0.3">
      <c r="A275" s="38" t="s">
        <v>341</v>
      </c>
      <c r="B275" s="20" t="s">
        <v>384</v>
      </c>
      <c r="C275" s="49" t="s">
        <v>415</v>
      </c>
      <c r="D275" s="27" t="s">
        <v>1176</v>
      </c>
      <c r="E275" s="68" t="s">
        <v>1492</v>
      </c>
      <c r="F275" s="68" t="s">
        <v>1284</v>
      </c>
      <c r="G275" s="68"/>
    </row>
    <row r="276" spans="1:7" ht="66" customHeight="1" x14ac:dyDescent="0.3">
      <c r="A276" s="38" t="s">
        <v>341</v>
      </c>
      <c r="B276" s="20" t="s">
        <v>384</v>
      </c>
      <c r="C276" s="49" t="s">
        <v>416</v>
      </c>
      <c r="D276" s="27" t="s">
        <v>1176</v>
      </c>
      <c r="E276" s="68" t="s">
        <v>1493</v>
      </c>
      <c r="F276" s="68" t="s">
        <v>1284</v>
      </c>
      <c r="G276" s="68"/>
    </row>
    <row r="277" spans="1:7" ht="62.7" customHeight="1" x14ac:dyDescent="0.3">
      <c r="A277" s="38" t="s">
        <v>341</v>
      </c>
      <c r="B277" s="20" t="s">
        <v>384</v>
      </c>
      <c r="C277" s="49" t="s">
        <v>417</v>
      </c>
      <c r="D277" s="27" t="s">
        <v>41</v>
      </c>
      <c r="E277" s="68" t="s">
        <v>1494</v>
      </c>
      <c r="F277" s="68" t="s">
        <v>1284</v>
      </c>
      <c r="G277" s="68"/>
    </row>
    <row r="278" spans="1:7" ht="66.75" customHeight="1" x14ac:dyDescent="0.3">
      <c r="A278" s="38" t="s">
        <v>341</v>
      </c>
      <c r="B278" s="20" t="s">
        <v>384</v>
      </c>
      <c r="C278" s="49" t="s">
        <v>418</v>
      </c>
      <c r="D278" s="27" t="s">
        <v>45</v>
      </c>
      <c r="E278" s="68" t="s">
        <v>1495</v>
      </c>
      <c r="F278" s="68" t="s">
        <v>1284</v>
      </c>
      <c r="G278" s="68"/>
    </row>
    <row r="279" spans="1:7" ht="66.45" customHeight="1" x14ac:dyDescent="0.3">
      <c r="A279" s="38" t="s">
        <v>341</v>
      </c>
      <c r="B279" s="20" t="s">
        <v>384</v>
      </c>
      <c r="C279" s="49" t="s">
        <v>419</v>
      </c>
      <c r="D279" s="27" t="s">
        <v>1176</v>
      </c>
      <c r="E279" s="68" t="s">
        <v>1496</v>
      </c>
      <c r="F279" s="68" t="s">
        <v>1284</v>
      </c>
      <c r="G279" s="68"/>
    </row>
    <row r="280" spans="1:7" ht="81.45" customHeight="1" x14ac:dyDescent="0.3">
      <c r="A280" s="38" t="s">
        <v>341</v>
      </c>
      <c r="B280" s="20" t="s">
        <v>384</v>
      </c>
      <c r="C280" s="49" t="s">
        <v>420</v>
      </c>
      <c r="D280" s="27" t="s">
        <v>1176</v>
      </c>
      <c r="E280" s="68" t="s">
        <v>1497</v>
      </c>
      <c r="F280" s="68" t="s">
        <v>1284</v>
      </c>
      <c r="G280" s="68"/>
    </row>
    <row r="281" spans="1:7" ht="61.95" customHeight="1" x14ac:dyDescent="0.3">
      <c r="A281" s="38" t="s">
        <v>341</v>
      </c>
      <c r="B281" s="20" t="s">
        <v>384</v>
      </c>
      <c r="C281" s="54" t="s">
        <v>421</v>
      </c>
      <c r="D281" s="27" t="s">
        <v>45</v>
      </c>
      <c r="E281" s="68" t="s">
        <v>1498</v>
      </c>
      <c r="F281" s="68" t="s">
        <v>387</v>
      </c>
      <c r="G281" s="68"/>
    </row>
    <row r="282" spans="1:7" ht="52.95" customHeight="1" x14ac:dyDescent="0.3">
      <c r="A282" s="38" t="s">
        <v>341</v>
      </c>
      <c r="B282" s="20" t="s">
        <v>384</v>
      </c>
      <c r="C282" s="54" t="s">
        <v>422</v>
      </c>
      <c r="D282" s="27" t="s">
        <v>1176</v>
      </c>
      <c r="E282" s="68" t="s">
        <v>1499</v>
      </c>
      <c r="F282" s="68" t="s">
        <v>387</v>
      </c>
      <c r="G282" s="68"/>
    </row>
    <row r="283" spans="1:7" ht="63.45" customHeight="1" x14ac:dyDescent="0.3">
      <c r="A283" s="38" t="s">
        <v>341</v>
      </c>
      <c r="B283" s="20" t="s">
        <v>384</v>
      </c>
      <c r="C283" s="54" t="s">
        <v>423</v>
      </c>
      <c r="D283" s="27" t="s">
        <v>1176</v>
      </c>
      <c r="E283" s="68" t="s">
        <v>1500</v>
      </c>
      <c r="F283" s="68" t="s">
        <v>387</v>
      </c>
      <c r="G283" s="68"/>
    </row>
    <row r="284" spans="1:7" ht="66" customHeight="1" x14ac:dyDescent="0.3">
      <c r="A284" s="38" t="s">
        <v>341</v>
      </c>
      <c r="B284" s="20" t="s">
        <v>384</v>
      </c>
      <c r="C284" s="54" t="s">
        <v>424</v>
      </c>
      <c r="D284" s="27" t="s">
        <v>1176</v>
      </c>
      <c r="E284" s="68" t="s">
        <v>1501</v>
      </c>
      <c r="F284" s="68" t="s">
        <v>387</v>
      </c>
      <c r="G284" s="68"/>
    </row>
    <row r="285" spans="1:7" ht="86.4" x14ac:dyDescent="0.3">
      <c r="A285" s="38" t="s">
        <v>341</v>
      </c>
      <c r="B285" s="20" t="s">
        <v>384</v>
      </c>
      <c r="C285" s="54" t="s">
        <v>425</v>
      </c>
      <c r="D285" s="27" t="s">
        <v>45</v>
      </c>
      <c r="E285" s="68" t="s">
        <v>1502</v>
      </c>
      <c r="F285" s="68" t="s">
        <v>1145</v>
      </c>
      <c r="G285" s="68"/>
    </row>
    <row r="286" spans="1:7" ht="72" x14ac:dyDescent="0.3">
      <c r="A286" s="38" t="s">
        <v>341</v>
      </c>
      <c r="B286" s="20" t="s">
        <v>384</v>
      </c>
      <c r="C286" s="54" t="s">
        <v>426</v>
      </c>
      <c r="D286" s="27" t="s">
        <v>1176</v>
      </c>
      <c r="E286" s="14" t="s">
        <v>1149</v>
      </c>
      <c r="F286" s="68" t="s">
        <v>1145</v>
      </c>
      <c r="G286" s="68"/>
    </row>
    <row r="287" spans="1:7" ht="64.5" customHeight="1" x14ac:dyDescent="0.3">
      <c r="A287" s="38" t="s">
        <v>341</v>
      </c>
      <c r="B287" s="20" t="s">
        <v>384</v>
      </c>
      <c r="C287" s="54" t="s">
        <v>427</v>
      </c>
      <c r="D287" s="27" t="s">
        <v>41</v>
      </c>
      <c r="E287" s="68" t="s">
        <v>1503</v>
      </c>
      <c r="F287" s="68" t="s">
        <v>428</v>
      </c>
      <c r="G287" s="68"/>
    </row>
    <row r="288" spans="1:7" ht="57.6" x14ac:dyDescent="0.3">
      <c r="A288" s="38" t="s">
        <v>341</v>
      </c>
      <c r="B288" s="20" t="s">
        <v>384</v>
      </c>
      <c r="C288" s="54" t="s">
        <v>429</v>
      </c>
      <c r="D288" s="27" t="s">
        <v>45</v>
      </c>
      <c r="E288" s="68" t="s">
        <v>1504</v>
      </c>
      <c r="F288" s="68" t="s">
        <v>428</v>
      </c>
      <c r="G288" s="68"/>
    </row>
    <row r="289" spans="1:7" ht="62.25" customHeight="1" thickBot="1" x14ac:dyDescent="0.35">
      <c r="A289" s="63" t="s">
        <v>341</v>
      </c>
      <c r="B289" s="64" t="s">
        <v>384</v>
      </c>
      <c r="C289" s="75" t="s">
        <v>430</v>
      </c>
      <c r="D289" s="66" t="s">
        <v>1176</v>
      </c>
      <c r="E289" s="107" t="s">
        <v>1505</v>
      </c>
      <c r="F289" s="107" t="s">
        <v>428</v>
      </c>
      <c r="G289" s="107"/>
    </row>
    <row r="290" spans="1:7" ht="81.45" customHeight="1" x14ac:dyDescent="0.3">
      <c r="A290" s="40" t="s">
        <v>341</v>
      </c>
      <c r="B290" s="16" t="s">
        <v>431</v>
      </c>
      <c r="C290" s="52" t="s">
        <v>432</v>
      </c>
      <c r="D290" s="26" t="s">
        <v>41</v>
      </c>
      <c r="E290" s="106" t="s">
        <v>1506</v>
      </c>
      <c r="F290" s="11" t="s">
        <v>433</v>
      </c>
      <c r="G290" s="106" t="s">
        <v>51</v>
      </c>
    </row>
    <row r="291" spans="1:7" ht="100.8" x14ac:dyDescent="0.3">
      <c r="A291" s="38" t="s">
        <v>341</v>
      </c>
      <c r="B291" s="20" t="s">
        <v>431</v>
      </c>
      <c r="C291" s="49" t="s">
        <v>434</v>
      </c>
      <c r="D291" s="27" t="s">
        <v>45</v>
      </c>
      <c r="E291" s="68" t="s">
        <v>1507</v>
      </c>
      <c r="F291" s="14" t="s">
        <v>435</v>
      </c>
      <c r="G291" s="68"/>
    </row>
    <row r="292" spans="1:7" ht="43.2" x14ac:dyDescent="0.3">
      <c r="A292" s="38" t="s">
        <v>341</v>
      </c>
      <c r="B292" s="20" t="s">
        <v>431</v>
      </c>
      <c r="C292" s="49" t="s">
        <v>436</v>
      </c>
      <c r="D292" s="27" t="s">
        <v>1176</v>
      </c>
      <c r="E292" s="68" t="s">
        <v>1508</v>
      </c>
      <c r="F292" s="68" t="s">
        <v>437</v>
      </c>
      <c r="G292" s="68"/>
    </row>
    <row r="293" spans="1:7" ht="72" x14ac:dyDescent="0.3">
      <c r="A293" s="38" t="s">
        <v>341</v>
      </c>
      <c r="B293" s="20" t="s">
        <v>431</v>
      </c>
      <c r="C293" s="49" t="s">
        <v>438</v>
      </c>
      <c r="D293" s="27" t="s">
        <v>45</v>
      </c>
      <c r="E293" s="68" t="s">
        <v>1509</v>
      </c>
      <c r="F293" s="68" t="s">
        <v>1285</v>
      </c>
      <c r="G293" s="68"/>
    </row>
    <row r="294" spans="1:7" ht="78.45" customHeight="1" x14ac:dyDescent="0.3">
      <c r="A294" s="38" t="s">
        <v>341</v>
      </c>
      <c r="B294" s="20" t="s">
        <v>431</v>
      </c>
      <c r="C294" s="49" t="s">
        <v>439</v>
      </c>
      <c r="D294" s="27" t="s">
        <v>1176</v>
      </c>
      <c r="E294" s="68" t="s">
        <v>1510</v>
      </c>
      <c r="F294" s="68" t="s">
        <v>1285</v>
      </c>
      <c r="G294" s="68"/>
    </row>
    <row r="295" spans="1:7" ht="100.8" x14ac:dyDescent="0.3">
      <c r="A295" s="38" t="s">
        <v>341</v>
      </c>
      <c r="B295" s="20" t="s">
        <v>431</v>
      </c>
      <c r="C295" s="49" t="s">
        <v>440</v>
      </c>
      <c r="D295" s="27" t="s">
        <v>45</v>
      </c>
      <c r="E295" s="68" t="s">
        <v>1511</v>
      </c>
      <c r="F295" s="68" t="s">
        <v>1286</v>
      </c>
      <c r="G295" s="68"/>
    </row>
    <row r="296" spans="1:7" ht="100.8" x14ac:dyDescent="0.3">
      <c r="A296" s="38" t="s">
        <v>341</v>
      </c>
      <c r="B296" s="20" t="s">
        <v>431</v>
      </c>
      <c r="C296" s="49" t="s">
        <v>441</v>
      </c>
      <c r="D296" s="27" t="s">
        <v>1176</v>
      </c>
      <c r="E296" s="68" t="s">
        <v>1512</v>
      </c>
      <c r="F296" s="68" t="s">
        <v>1286</v>
      </c>
      <c r="G296" s="68"/>
    </row>
    <row r="297" spans="1:7" s="119" customFormat="1" ht="86.4" x14ac:dyDescent="0.3">
      <c r="A297" s="115" t="s">
        <v>341</v>
      </c>
      <c r="B297" s="116" t="s">
        <v>431</v>
      </c>
      <c r="C297" s="120" t="s">
        <v>1852</v>
      </c>
      <c r="D297" s="118" t="s">
        <v>45</v>
      </c>
      <c r="E297" s="87" t="s">
        <v>442</v>
      </c>
      <c r="F297" s="87" t="s">
        <v>1287</v>
      </c>
      <c r="G297" s="87"/>
    </row>
    <row r="298" spans="1:7" s="119" customFormat="1" ht="86.4" x14ac:dyDescent="0.3">
      <c r="A298" s="115" t="s">
        <v>341</v>
      </c>
      <c r="B298" s="116" t="s">
        <v>431</v>
      </c>
      <c r="C298" s="120" t="s">
        <v>1853</v>
      </c>
      <c r="D298" s="118" t="s">
        <v>1176</v>
      </c>
      <c r="E298" s="87" t="s">
        <v>443</v>
      </c>
      <c r="F298" s="87" t="s">
        <v>1287</v>
      </c>
      <c r="G298" s="87"/>
    </row>
    <row r="299" spans="1:7" s="119" customFormat="1" ht="86.4" x14ac:dyDescent="0.3">
      <c r="A299" s="115" t="s">
        <v>341</v>
      </c>
      <c r="B299" s="116" t="s">
        <v>431</v>
      </c>
      <c r="C299" s="120" t="s">
        <v>1854</v>
      </c>
      <c r="D299" s="118" t="s">
        <v>1176</v>
      </c>
      <c r="E299" s="87" t="s">
        <v>444</v>
      </c>
      <c r="F299" s="87" t="s">
        <v>1287</v>
      </c>
      <c r="G299" s="87"/>
    </row>
    <row r="300" spans="1:7" ht="43.2" x14ac:dyDescent="0.3">
      <c r="A300" s="38" t="s">
        <v>341</v>
      </c>
      <c r="B300" s="20" t="s">
        <v>431</v>
      </c>
      <c r="C300" s="49" t="s">
        <v>445</v>
      </c>
      <c r="D300" s="27" t="s">
        <v>45</v>
      </c>
      <c r="E300" s="14" t="s">
        <v>446</v>
      </c>
      <c r="F300" s="14" t="s">
        <v>71</v>
      </c>
      <c r="G300" s="68"/>
    </row>
    <row r="301" spans="1:7" ht="43.2" x14ac:dyDescent="0.3">
      <c r="A301" s="38" t="s">
        <v>341</v>
      </c>
      <c r="B301" s="20" t="s">
        <v>431</v>
      </c>
      <c r="C301" s="49" t="s">
        <v>447</v>
      </c>
      <c r="D301" s="27" t="s">
        <v>1176</v>
      </c>
      <c r="E301" s="14" t="s">
        <v>448</v>
      </c>
      <c r="F301" s="14" t="s">
        <v>71</v>
      </c>
      <c r="G301" s="68"/>
    </row>
    <row r="302" spans="1:7" ht="43.2" x14ac:dyDescent="0.3">
      <c r="A302" s="38" t="s">
        <v>341</v>
      </c>
      <c r="B302" s="20" t="s">
        <v>431</v>
      </c>
      <c r="C302" s="49" t="s">
        <v>449</v>
      </c>
      <c r="D302" s="27" t="s">
        <v>45</v>
      </c>
      <c r="E302" s="14" t="s">
        <v>450</v>
      </c>
      <c r="F302" s="14" t="s">
        <v>71</v>
      </c>
      <c r="G302" s="68"/>
    </row>
    <row r="303" spans="1:7" ht="43.2" x14ac:dyDescent="0.3">
      <c r="A303" s="38" t="s">
        <v>341</v>
      </c>
      <c r="B303" s="20" t="s">
        <v>431</v>
      </c>
      <c r="C303" s="49" t="s">
        <v>451</v>
      </c>
      <c r="D303" s="27" t="s">
        <v>1176</v>
      </c>
      <c r="E303" s="14" t="s">
        <v>452</v>
      </c>
      <c r="F303" s="14" t="s">
        <v>71</v>
      </c>
      <c r="G303" s="68"/>
    </row>
    <row r="304" spans="1:7" ht="57.6" x14ac:dyDescent="0.3">
      <c r="A304" s="38" t="s">
        <v>341</v>
      </c>
      <c r="B304" s="20" t="s">
        <v>431</v>
      </c>
      <c r="C304" s="49" t="s">
        <v>453</v>
      </c>
      <c r="D304" s="27" t="s">
        <v>45</v>
      </c>
      <c r="E304" s="14" t="s">
        <v>454</v>
      </c>
      <c r="F304" s="68" t="s">
        <v>1288</v>
      </c>
      <c r="G304" s="68"/>
    </row>
    <row r="305" spans="1:7" ht="57.6" x14ac:dyDescent="0.3">
      <c r="A305" s="38" t="s">
        <v>341</v>
      </c>
      <c r="B305" s="20" t="s">
        <v>431</v>
      </c>
      <c r="C305" s="49" t="s">
        <v>455</v>
      </c>
      <c r="D305" s="27" t="s">
        <v>1176</v>
      </c>
      <c r="E305" s="14" t="s">
        <v>456</v>
      </c>
      <c r="F305" s="68" t="s">
        <v>1288</v>
      </c>
      <c r="G305" s="68"/>
    </row>
    <row r="306" spans="1:7" ht="43.2" x14ac:dyDescent="0.3">
      <c r="A306" s="38" t="s">
        <v>341</v>
      </c>
      <c r="B306" s="20" t="s">
        <v>431</v>
      </c>
      <c r="C306" s="49" t="s">
        <v>457</v>
      </c>
      <c r="D306" s="27" t="s">
        <v>45</v>
      </c>
      <c r="E306" s="68" t="s">
        <v>1513</v>
      </c>
      <c r="F306" s="14" t="s">
        <v>458</v>
      </c>
      <c r="G306" s="68"/>
    </row>
    <row r="307" spans="1:7" ht="57.6" x14ac:dyDescent="0.3">
      <c r="A307" s="38" t="s">
        <v>341</v>
      </c>
      <c r="B307" s="20" t="s">
        <v>431</v>
      </c>
      <c r="C307" s="49" t="s">
        <v>459</v>
      </c>
      <c r="D307" s="27" t="s">
        <v>1176</v>
      </c>
      <c r="E307" s="68" t="s">
        <v>1514</v>
      </c>
      <c r="F307" s="14" t="s">
        <v>458</v>
      </c>
      <c r="G307" s="68"/>
    </row>
    <row r="308" spans="1:7" ht="57.6" x14ac:dyDescent="0.3">
      <c r="A308" s="38" t="s">
        <v>341</v>
      </c>
      <c r="B308" s="20" t="s">
        <v>431</v>
      </c>
      <c r="C308" s="49" t="s">
        <v>460</v>
      </c>
      <c r="D308" s="27" t="s">
        <v>41</v>
      </c>
      <c r="E308" s="68" t="s">
        <v>1515</v>
      </c>
      <c r="F308" s="14" t="s">
        <v>461</v>
      </c>
      <c r="G308" s="68"/>
    </row>
    <row r="309" spans="1:7" ht="43.2" x14ac:dyDescent="0.3">
      <c r="A309" s="38" t="s">
        <v>341</v>
      </c>
      <c r="B309" s="20" t="s">
        <v>431</v>
      </c>
      <c r="C309" s="49" t="s">
        <v>462</v>
      </c>
      <c r="D309" s="27" t="s">
        <v>45</v>
      </c>
      <c r="E309" s="14" t="s">
        <v>463</v>
      </c>
      <c r="F309" s="14" t="s">
        <v>464</v>
      </c>
      <c r="G309" s="68" t="s">
        <v>465</v>
      </c>
    </row>
    <row r="310" spans="1:7" ht="43.2" x14ac:dyDescent="0.3">
      <c r="A310" s="38" t="s">
        <v>341</v>
      </c>
      <c r="B310" s="20" t="s">
        <v>431</v>
      </c>
      <c r="C310" s="49" t="s">
        <v>466</v>
      </c>
      <c r="D310" s="27" t="s">
        <v>1176</v>
      </c>
      <c r="E310" s="14" t="s">
        <v>467</v>
      </c>
      <c r="F310" s="14" t="s">
        <v>464</v>
      </c>
      <c r="G310" s="68" t="s">
        <v>465</v>
      </c>
    </row>
    <row r="311" spans="1:7" ht="57.6" x14ac:dyDescent="0.3">
      <c r="A311" s="38" t="s">
        <v>341</v>
      </c>
      <c r="B311" s="20" t="s">
        <v>431</v>
      </c>
      <c r="C311" s="49" t="s">
        <v>468</v>
      </c>
      <c r="D311" s="27" t="s">
        <v>41</v>
      </c>
      <c r="E311" s="68" t="s">
        <v>1516</v>
      </c>
      <c r="F311" s="14" t="s">
        <v>469</v>
      </c>
      <c r="G311" s="68"/>
    </row>
    <row r="312" spans="1:7" ht="57.6" x14ac:dyDescent="0.3">
      <c r="A312" s="45" t="s">
        <v>341</v>
      </c>
      <c r="B312" s="76" t="s">
        <v>431</v>
      </c>
      <c r="C312" s="77" t="s">
        <v>470</v>
      </c>
      <c r="D312" s="27" t="s">
        <v>45</v>
      </c>
      <c r="E312" s="15" t="s">
        <v>471</v>
      </c>
      <c r="F312" s="15" t="s">
        <v>469</v>
      </c>
      <c r="G312" s="110"/>
    </row>
    <row r="313" spans="1:7" ht="57.6" x14ac:dyDescent="0.3">
      <c r="A313" s="20" t="s">
        <v>341</v>
      </c>
      <c r="B313" s="20" t="s">
        <v>431</v>
      </c>
      <c r="C313" s="49" t="s">
        <v>472</v>
      </c>
      <c r="D313" s="26" t="s">
        <v>1176</v>
      </c>
      <c r="E313" s="14" t="s">
        <v>473</v>
      </c>
      <c r="F313" s="14" t="s">
        <v>469</v>
      </c>
      <c r="G313" s="68"/>
    </row>
    <row r="314" spans="1:7" ht="72" x14ac:dyDescent="0.3">
      <c r="A314" s="38" t="s">
        <v>341</v>
      </c>
      <c r="B314" s="20" t="s">
        <v>431</v>
      </c>
      <c r="C314" s="49" t="s">
        <v>474</v>
      </c>
      <c r="D314" s="27" t="s">
        <v>45</v>
      </c>
      <c r="E314" s="68" t="s">
        <v>1517</v>
      </c>
      <c r="F314" s="68" t="s">
        <v>1289</v>
      </c>
      <c r="G314" s="68"/>
    </row>
    <row r="315" spans="1:7" ht="72" x14ac:dyDescent="0.3">
      <c r="A315" s="38" t="s">
        <v>341</v>
      </c>
      <c r="B315" s="20" t="s">
        <v>431</v>
      </c>
      <c r="C315" s="49" t="s">
        <v>475</v>
      </c>
      <c r="D315" s="27" t="s">
        <v>1176</v>
      </c>
      <c r="E315" s="68" t="s">
        <v>1518</v>
      </c>
      <c r="F315" s="68" t="s">
        <v>477</v>
      </c>
      <c r="G315" s="68"/>
    </row>
    <row r="316" spans="1:7" ht="57.6" x14ac:dyDescent="0.3">
      <c r="A316" s="38" t="s">
        <v>341</v>
      </c>
      <c r="B316" s="20" t="s">
        <v>431</v>
      </c>
      <c r="C316" s="49" t="s">
        <v>478</v>
      </c>
      <c r="D316" s="27" t="s">
        <v>45</v>
      </c>
      <c r="E316" s="14" t="s">
        <v>479</v>
      </c>
      <c r="F316" s="68" t="s">
        <v>1290</v>
      </c>
      <c r="G316" s="68"/>
    </row>
    <row r="317" spans="1:7" ht="57.6" x14ac:dyDescent="0.3">
      <c r="A317" s="38" t="s">
        <v>341</v>
      </c>
      <c r="B317" s="20" t="s">
        <v>431</v>
      </c>
      <c r="C317" s="49" t="s">
        <v>480</v>
      </c>
      <c r="D317" s="27" t="s">
        <v>1176</v>
      </c>
      <c r="E317" s="68" t="s">
        <v>1519</v>
      </c>
      <c r="F317" s="68" t="s">
        <v>1290</v>
      </c>
      <c r="G317" s="68"/>
    </row>
    <row r="318" spans="1:7" ht="72" x14ac:dyDescent="0.3">
      <c r="A318" s="38" t="s">
        <v>341</v>
      </c>
      <c r="B318" s="20" t="s">
        <v>431</v>
      </c>
      <c r="C318" s="49" t="s">
        <v>481</v>
      </c>
      <c r="D318" s="27" t="s">
        <v>45</v>
      </c>
      <c r="E318" s="68" t="s">
        <v>1520</v>
      </c>
      <c r="F318" s="68" t="s">
        <v>1291</v>
      </c>
      <c r="G318" s="68"/>
    </row>
    <row r="319" spans="1:7" s="36" customFormat="1" ht="72" x14ac:dyDescent="0.3">
      <c r="A319" s="38" t="s">
        <v>341</v>
      </c>
      <c r="B319" s="20" t="s">
        <v>431</v>
      </c>
      <c r="C319" s="49" t="s">
        <v>482</v>
      </c>
      <c r="D319" s="27" t="s">
        <v>1176</v>
      </c>
      <c r="E319" s="68" t="s">
        <v>1521</v>
      </c>
      <c r="F319" s="68" t="s">
        <v>1291</v>
      </c>
      <c r="G319" s="68"/>
    </row>
    <row r="320" spans="1:7" s="36" customFormat="1" ht="43.2" x14ac:dyDescent="0.3">
      <c r="A320" s="38" t="s">
        <v>341</v>
      </c>
      <c r="B320" s="20" t="s">
        <v>431</v>
      </c>
      <c r="C320" s="49" t="s">
        <v>483</v>
      </c>
      <c r="D320" s="27" t="s">
        <v>45</v>
      </c>
      <c r="E320" s="68" t="s">
        <v>1522</v>
      </c>
      <c r="F320" s="68" t="s">
        <v>1292</v>
      </c>
      <c r="G320" s="68"/>
    </row>
    <row r="321" spans="1:7" s="36" customFormat="1" ht="43.2" x14ac:dyDescent="0.3">
      <c r="A321" s="38" t="s">
        <v>341</v>
      </c>
      <c r="B321" s="20" t="s">
        <v>431</v>
      </c>
      <c r="C321" s="49" t="s">
        <v>484</v>
      </c>
      <c r="D321" s="27" t="s">
        <v>1176</v>
      </c>
      <c r="E321" s="68" t="s">
        <v>1523</v>
      </c>
      <c r="F321" s="68" t="s">
        <v>1292</v>
      </c>
      <c r="G321" s="68"/>
    </row>
    <row r="322" spans="1:7" s="36" customFormat="1" ht="57.6" x14ac:dyDescent="0.3">
      <c r="A322" s="38" t="s">
        <v>341</v>
      </c>
      <c r="B322" s="20" t="s">
        <v>431</v>
      </c>
      <c r="C322" s="49" t="s">
        <v>485</v>
      </c>
      <c r="D322" s="27" t="s">
        <v>1176</v>
      </c>
      <c r="E322" s="68" t="s">
        <v>1524</v>
      </c>
      <c r="F322" s="68" t="s">
        <v>1292</v>
      </c>
      <c r="G322" s="68"/>
    </row>
    <row r="323" spans="1:7" s="36" customFormat="1" ht="57.6" x14ac:dyDescent="0.3">
      <c r="A323" s="38" t="s">
        <v>341</v>
      </c>
      <c r="B323" s="20" t="s">
        <v>431</v>
      </c>
      <c r="C323" s="49" t="s">
        <v>486</v>
      </c>
      <c r="D323" s="27" t="s">
        <v>45</v>
      </c>
      <c r="E323" s="68" t="s">
        <v>1525</v>
      </c>
      <c r="F323" s="68" t="s">
        <v>1292</v>
      </c>
      <c r="G323" s="68"/>
    </row>
    <row r="324" spans="1:7" s="36" customFormat="1" ht="57.6" x14ac:dyDescent="0.3">
      <c r="A324" s="38" t="s">
        <v>341</v>
      </c>
      <c r="B324" s="20" t="s">
        <v>431</v>
      </c>
      <c r="C324" s="49" t="s">
        <v>487</v>
      </c>
      <c r="D324" s="27" t="s">
        <v>1176</v>
      </c>
      <c r="E324" s="68" t="s">
        <v>1526</v>
      </c>
      <c r="F324" s="68" t="s">
        <v>1292</v>
      </c>
      <c r="G324" s="68"/>
    </row>
    <row r="325" spans="1:7" s="36" customFormat="1" ht="57.6" x14ac:dyDescent="0.3">
      <c r="A325" s="38" t="s">
        <v>341</v>
      </c>
      <c r="B325" s="20" t="s">
        <v>431</v>
      </c>
      <c r="C325" s="49" t="s">
        <v>488</v>
      </c>
      <c r="D325" s="27" t="s">
        <v>41</v>
      </c>
      <c r="E325" s="68" t="s">
        <v>1527</v>
      </c>
      <c r="F325" s="68" t="s">
        <v>1292</v>
      </c>
      <c r="G325" s="68"/>
    </row>
    <row r="326" spans="1:7" s="36" customFormat="1" ht="57.6" x14ac:dyDescent="0.3">
      <c r="A326" s="38" t="s">
        <v>341</v>
      </c>
      <c r="B326" s="20" t="s">
        <v>431</v>
      </c>
      <c r="C326" s="49" t="s">
        <v>489</v>
      </c>
      <c r="D326" s="27" t="s">
        <v>45</v>
      </c>
      <c r="E326" s="68" t="s">
        <v>1528</v>
      </c>
      <c r="F326" s="68" t="s">
        <v>1292</v>
      </c>
      <c r="G326" s="68"/>
    </row>
    <row r="327" spans="1:7" ht="57.6" x14ac:dyDescent="0.3">
      <c r="A327" s="38" t="s">
        <v>341</v>
      </c>
      <c r="B327" s="20" t="s">
        <v>431</v>
      </c>
      <c r="C327" s="49" t="s">
        <v>490</v>
      </c>
      <c r="D327" s="27" t="s">
        <v>1176</v>
      </c>
      <c r="E327" s="68" t="s">
        <v>1529</v>
      </c>
      <c r="F327" s="68" t="s">
        <v>1292</v>
      </c>
      <c r="G327" s="68"/>
    </row>
    <row r="328" spans="1:7" ht="72" x14ac:dyDescent="0.3">
      <c r="A328" s="38" t="s">
        <v>341</v>
      </c>
      <c r="B328" s="20" t="s">
        <v>431</v>
      </c>
      <c r="C328" s="49" t="s">
        <v>491</v>
      </c>
      <c r="D328" s="27" t="s">
        <v>45</v>
      </c>
      <c r="E328" s="68" t="s">
        <v>1530</v>
      </c>
      <c r="F328" s="14" t="s">
        <v>71</v>
      </c>
      <c r="G328" s="68" t="s">
        <v>397</v>
      </c>
    </row>
    <row r="329" spans="1:7" ht="72" x14ac:dyDescent="0.3">
      <c r="A329" s="38" t="s">
        <v>341</v>
      </c>
      <c r="B329" s="20" t="s">
        <v>431</v>
      </c>
      <c r="C329" s="49" t="s">
        <v>492</v>
      </c>
      <c r="D329" s="27" t="s">
        <v>1176</v>
      </c>
      <c r="E329" s="68" t="s">
        <v>1531</v>
      </c>
      <c r="F329" s="14" t="s">
        <v>71</v>
      </c>
      <c r="G329" s="68" t="s">
        <v>397</v>
      </c>
    </row>
    <row r="330" spans="1:7" ht="69" customHeight="1" x14ac:dyDescent="0.3">
      <c r="A330" s="38" t="s">
        <v>341</v>
      </c>
      <c r="B330" s="20" t="s">
        <v>431</v>
      </c>
      <c r="C330" s="49" t="s">
        <v>493</v>
      </c>
      <c r="D330" s="27" t="s">
        <v>41</v>
      </c>
      <c r="E330" s="68" t="s">
        <v>1532</v>
      </c>
      <c r="F330" s="68" t="s">
        <v>1282</v>
      </c>
      <c r="G330" s="68"/>
    </row>
    <row r="331" spans="1:7" ht="43.2" x14ac:dyDescent="0.3">
      <c r="A331" s="38" t="s">
        <v>341</v>
      </c>
      <c r="B331" s="20" t="s">
        <v>431</v>
      </c>
      <c r="C331" s="49" t="s">
        <v>494</v>
      </c>
      <c r="D331" s="27" t="s">
        <v>45</v>
      </c>
      <c r="E331" s="14" t="s">
        <v>495</v>
      </c>
      <c r="F331" s="14" t="s">
        <v>71</v>
      </c>
      <c r="G331" s="68" t="s">
        <v>397</v>
      </c>
    </row>
    <row r="332" spans="1:7" ht="43.2" x14ac:dyDescent="0.3">
      <c r="A332" s="38" t="s">
        <v>341</v>
      </c>
      <c r="B332" s="20" t="s">
        <v>431</v>
      </c>
      <c r="C332" s="49" t="s">
        <v>496</v>
      </c>
      <c r="D332" s="27" t="s">
        <v>1176</v>
      </c>
      <c r="E332" s="14" t="s">
        <v>497</v>
      </c>
      <c r="F332" s="14" t="s">
        <v>71</v>
      </c>
      <c r="G332" s="68" t="s">
        <v>397</v>
      </c>
    </row>
    <row r="333" spans="1:7" ht="57.6" x14ac:dyDescent="0.3">
      <c r="A333" s="38" t="s">
        <v>341</v>
      </c>
      <c r="B333" s="20" t="s">
        <v>431</v>
      </c>
      <c r="C333" s="49" t="s">
        <v>498</v>
      </c>
      <c r="D333" s="27" t="s">
        <v>45</v>
      </c>
      <c r="E333" s="68" t="s">
        <v>1533</v>
      </c>
      <c r="F333" s="68" t="s">
        <v>1292</v>
      </c>
      <c r="G333" s="68"/>
    </row>
    <row r="334" spans="1:7" ht="43.2" x14ac:dyDescent="0.3">
      <c r="A334" s="38" t="s">
        <v>341</v>
      </c>
      <c r="B334" s="20" t="s">
        <v>431</v>
      </c>
      <c r="C334" s="49" t="s">
        <v>499</v>
      </c>
      <c r="D334" s="27" t="s">
        <v>1176</v>
      </c>
      <c r="E334" s="68" t="s">
        <v>1534</v>
      </c>
      <c r="F334" s="68" t="s">
        <v>1292</v>
      </c>
      <c r="G334" s="68"/>
    </row>
    <row r="335" spans="1:7" ht="57.6" x14ac:dyDescent="0.3">
      <c r="A335" s="38" t="s">
        <v>341</v>
      </c>
      <c r="B335" s="20" t="s">
        <v>431</v>
      </c>
      <c r="C335" s="49" t="s">
        <v>500</v>
      </c>
      <c r="D335" s="27" t="s">
        <v>1176</v>
      </c>
      <c r="E335" s="68" t="s">
        <v>1535</v>
      </c>
      <c r="F335" s="68" t="s">
        <v>1292</v>
      </c>
      <c r="G335" s="68"/>
    </row>
    <row r="336" spans="1:7" ht="57.6" x14ac:dyDescent="0.3">
      <c r="A336" s="38" t="s">
        <v>341</v>
      </c>
      <c r="B336" s="20" t="s">
        <v>431</v>
      </c>
      <c r="C336" s="49" t="s">
        <v>501</v>
      </c>
      <c r="D336" s="27" t="s">
        <v>1176</v>
      </c>
      <c r="E336" s="68" t="s">
        <v>1536</v>
      </c>
      <c r="F336" s="68" t="s">
        <v>1292</v>
      </c>
      <c r="G336" s="68"/>
    </row>
    <row r="337" spans="1:7" ht="43.2" x14ac:dyDescent="0.3">
      <c r="A337" s="38" t="s">
        <v>341</v>
      </c>
      <c r="B337" s="20" t="s">
        <v>431</v>
      </c>
      <c r="C337" s="49" t="s">
        <v>502</v>
      </c>
      <c r="D337" s="27" t="s">
        <v>41</v>
      </c>
      <c r="E337" s="68" t="s">
        <v>1537</v>
      </c>
      <c r="F337" s="68" t="s">
        <v>1292</v>
      </c>
      <c r="G337" s="68"/>
    </row>
    <row r="338" spans="1:7" ht="57.6" x14ac:dyDescent="0.3">
      <c r="A338" s="38" t="s">
        <v>341</v>
      </c>
      <c r="B338" s="20" t="s">
        <v>431</v>
      </c>
      <c r="C338" s="49" t="s">
        <v>503</v>
      </c>
      <c r="D338" s="27" t="s">
        <v>45</v>
      </c>
      <c r="E338" s="68" t="s">
        <v>1538</v>
      </c>
      <c r="F338" s="68" t="s">
        <v>1292</v>
      </c>
      <c r="G338" s="68"/>
    </row>
    <row r="339" spans="1:7" ht="57.6" x14ac:dyDescent="0.3">
      <c r="A339" s="38" t="s">
        <v>341</v>
      </c>
      <c r="B339" s="20" t="s">
        <v>431</v>
      </c>
      <c r="C339" s="49" t="s">
        <v>504</v>
      </c>
      <c r="D339" s="27" t="s">
        <v>1176</v>
      </c>
      <c r="E339" s="68" t="s">
        <v>1539</v>
      </c>
      <c r="F339" s="68" t="s">
        <v>1292</v>
      </c>
      <c r="G339" s="68"/>
    </row>
    <row r="340" spans="1:7" ht="57.6" x14ac:dyDescent="0.3">
      <c r="A340" s="38" t="s">
        <v>341</v>
      </c>
      <c r="B340" s="20" t="s">
        <v>431</v>
      </c>
      <c r="C340" s="49" t="s">
        <v>505</v>
      </c>
      <c r="D340" s="27" t="s">
        <v>1176</v>
      </c>
      <c r="E340" s="68" t="s">
        <v>1540</v>
      </c>
      <c r="F340" s="68" t="s">
        <v>1293</v>
      </c>
      <c r="G340" s="68"/>
    </row>
    <row r="341" spans="1:7" ht="57.6" x14ac:dyDescent="0.3">
      <c r="A341" s="38" t="s">
        <v>341</v>
      </c>
      <c r="B341" s="20" t="s">
        <v>431</v>
      </c>
      <c r="C341" s="49" t="s">
        <v>506</v>
      </c>
      <c r="D341" s="27" t="s">
        <v>41</v>
      </c>
      <c r="E341" s="68" t="s">
        <v>1541</v>
      </c>
      <c r="F341" s="68" t="s">
        <v>1293</v>
      </c>
      <c r="G341" s="68"/>
    </row>
    <row r="342" spans="1:7" ht="72" x14ac:dyDescent="0.3">
      <c r="A342" s="38" t="s">
        <v>341</v>
      </c>
      <c r="B342" s="20" t="s">
        <v>431</v>
      </c>
      <c r="C342" s="49" t="s">
        <v>507</v>
      </c>
      <c r="D342" s="27" t="s">
        <v>45</v>
      </c>
      <c r="E342" s="68" t="s">
        <v>1542</v>
      </c>
      <c r="F342" s="68" t="s">
        <v>1293</v>
      </c>
      <c r="G342" s="68"/>
    </row>
    <row r="343" spans="1:7" ht="57.6" x14ac:dyDescent="0.3">
      <c r="A343" s="38" t="s">
        <v>341</v>
      </c>
      <c r="B343" s="20" t="s">
        <v>431</v>
      </c>
      <c r="C343" s="49" t="s">
        <v>508</v>
      </c>
      <c r="D343" s="27" t="s">
        <v>1176</v>
      </c>
      <c r="E343" s="68" t="s">
        <v>1543</v>
      </c>
      <c r="F343" s="68" t="s">
        <v>1293</v>
      </c>
      <c r="G343" s="68"/>
    </row>
    <row r="344" spans="1:7" ht="72" x14ac:dyDescent="0.3">
      <c r="A344" s="38" t="s">
        <v>341</v>
      </c>
      <c r="B344" s="20" t="s">
        <v>431</v>
      </c>
      <c r="C344" s="49" t="s">
        <v>509</v>
      </c>
      <c r="D344" s="27" t="s">
        <v>1176</v>
      </c>
      <c r="E344" s="68" t="s">
        <v>1544</v>
      </c>
      <c r="F344" s="68" t="s">
        <v>1293</v>
      </c>
      <c r="G344" s="68"/>
    </row>
    <row r="345" spans="1:7" ht="72" x14ac:dyDescent="0.3">
      <c r="A345" s="38" t="s">
        <v>341</v>
      </c>
      <c r="B345" s="20" t="s">
        <v>431</v>
      </c>
      <c r="C345" s="49" t="s">
        <v>510</v>
      </c>
      <c r="D345" s="27" t="s">
        <v>1176</v>
      </c>
      <c r="E345" s="68" t="s">
        <v>1545</v>
      </c>
      <c r="F345" s="68" t="s">
        <v>1293</v>
      </c>
      <c r="G345" s="68"/>
    </row>
    <row r="346" spans="1:7" ht="57.6" x14ac:dyDescent="0.3">
      <c r="A346" s="38" t="s">
        <v>341</v>
      </c>
      <c r="B346" s="20" t="s">
        <v>431</v>
      </c>
      <c r="C346" s="49" t="s">
        <v>511</v>
      </c>
      <c r="D346" s="27" t="s">
        <v>41</v>
      </c>
      <c r="E346" s="68" t="s">
        <v>1546</v>
      </c>
      <c r="F346" s="68" t="s">
        <v>1293</v>
      </c>
      <c r="G346" s="68"/>
    </row>
    <row r="347" spans="1:7" ht="72" x14ac:dyDescent="0.3">
      <c r="A347" s="38" t="s">
        <v>341</v>
      </c>
      <c r="B347" s="20" t="s">
        <v>431</v>
      </c>
      <c r="C347" s="49" t="s">
        <v>512</v>
      </c>
      <c r="D347" s="27" t="s">
        <v>45</v>
      </c>
      <c r="E347" s="68" t="s">
        <v>1547</v>
      </c>
      <c r="F347" s="68" t="s">
        <v>1293</v>
      </c>
      <c r="G347" s="68"/>
    </row>
    <row r="348" spans="1:7" ht="57.6" x14ac:dyDescent="0.3">
      <c r="A348" s="38" t="s">
        <v>341</v>
      </c>
      <c r="B348" s="20" t="s">
        <v>431</v>
      </c>
      <c r="C348" s="49" t="s">
        <v>513</v>
      </c>
      <c r="D348" s="27" t="s">
        <v>1176</v>
      </c>
      <c r="E348" s="68" t="s">
        <v>1548</v>
      </c>
      <c r="F348" s="68" t="s">
        <v>1293</v>
      </c>
      <c r="G348" s="68"/>
    </row>
    <row r="349" spans="1:7" ht="72" x14ac:dyDescent="0.3">
      <c r="A349" s="38" t="s">
        <v>341</v>
      </c>
      <c r="B349" s="20" t="s">
        <v>431</v>
      </c>
      <c r="C349" s="49" t="s">
        <v>514</v>
      </c>
      <c r="D349" s="27" t="s">
        <v>1176</v>
      </c>
      <c r="E349" s="68" t="s">
        <v>1549</v>
      </c>
      <c r="F349" s="68" t="s">
        <v>1293</v>
      </c>
      <c r="G349" s="68"/>
    </row>
    <row r="350" spans="1:7" ht="69" customHeight="1" x14ac:dyDescent="0.3">
      <c r="A350" s="38" t="s">
        <v>341</v>
      </c>
      <c r="B350" s="20" t="s">
        <v>431</v>
      </c>
      <c r="C350" s="49" t="s">
        <v>515</v>
      </c>
      <c r="D350" s="27" t="s">
        <v>45</v>
      </c>
      <c r="E350" s="68" t="s">
        <v>1550</v>
      </c>
      <c r="F350" s="68" t="s">
        <v>387</v>
      </c>
      <c r="G350" s="68"/>
    </row>
    <row r="351" spans="1:7" ht="56.7" customHeight="1" x14ac:dyDescent="0.3">
      <c r="A351" s="38" t="s">
        <v>341</v>
      </c>
      <c r="B351" s="20" t="s">
        <v>431</v>
      </c>
      <c r="C351" s="49" t="s">
        <v>516</v>
      </c>
      <c r="D351" s="27" t="s">
        <v>1176</v>
      </c>
      <c r="E351" s="68" t="s">
        <v>1551</v>
      </c>
      <c r="F351" s="68" t="s">
        <v>387</v>
      </c>
      <c r="G351" s="68"/>
    </row>
    <row r="352" spans="1:7" ht="75.45" customHeight="1" x14ac:dyDescent="0.3">
      <c r="A352" s="38" t="s">
        <v>341</v>
      </c>
      <c r="B352" s="20" t="s">
        <v>431</v>
      </c>
      <c r="C352" s="49" t="s">
        <v>517</v>
      </c>
      <c r="D352" s="27" t="s">
        <v>1176</v>
      </c>
      <c r="E352" s="68" t="s">
        <v>1552</v>
      </c>
      <c r="F352" s="68" t="s">
        <v>387</v>
      </c>
      <c r="G352" s="68"/>
    </row>
    <row r="353" spans="1:7" ht="69.75" customHeight="1" x14ac:dyDescent="0.3">
      <c r="A353" s="38" t="s">
        <v>341</v>
      </c>
      <c r="B353" s="20" t="s">
        <v>431</v>
      </c>
      <c r="C353" s="49" t="s">
        <v>518</v>
      </c>
      <c r="D353" s="27" t="s">
        <v>1176</v>
      </c>
      <c r="E353" s="68" t="s">
        <v>1553</v>
      </c>
      <c r="F353" s="68" t="s">
        <v>387</v>
      </c>
      <c r="G353" s="68"/>
    </row>
    <row r="354" spans="1:7" ht="72" x14ac:dyDescent="0.3">
      <c r="A354" s="38" t="s">
        <v>341</v>
      </c>
      <c r="B354" s="20" t="s">
        <v>431</v>
      </c>
      <c r="C354" s="54" t="s">
        <v>519</v>
      </c>
      <c r="D354" s="27" t="s">
        <v>45</v>
      </c>
      <c r="E354" s="68" t="s">
        <v>1554</v>
      </c>
      <c r="F354" s="68" t="s">
        <v>1245</v>
      </c>
      <c r="G354" s="68"/>
    </row>
    <row r="355" spans="1:7" ht="72" x14ac:dyDescent="0.3">
      <c r="A355" s="38" t="s">
        <v>341</v>
      </c>
      <c r="B355" s="20" t="s">
        <v>431</v>
      </c>
      <c r="C355" s="54" t="s">
        <v>520</v>
      </c>
      <c r="D355" s="27" t="s">
        <v>1176</v>
      </c>
      <c r="E355" s="68" t="s">
        <v>1555</v>
      </c>
      <c r="F355" s="68" t="s">
        <v>1245</v>
      </c>
      <c r="G355" s="68"/>
    </row>
    <row r="356" spans="1:7" ht="72" x14ac:dyDescent="0.3">
      <c r="A356" s="38" t="s">
        <v>341</v>
      </c>
      <c r="B356" s="20" t="s">
        <v>431</v>
      </c>
      <c r="C356" s="49" t="s">
        <v>521</v>
      </c>
      <c r="D356" s="27" t="s">
        <v>41</v>
      </c>
      <c r="E356" s="68" t="s">
        <v>1556</v>
      </c>
      <c r="F356" s="14" t="s">
        <v>522</v>
      </c>
      <c r="G356" s="68"/>
    </row>
    <row r="357" spans="1:7" ht="86.4" x14ac:dyDescent="0.3">
      <c r="A357" s="38" t="s">
        <v>341</v>
      </c>
      <c r="B357" s="20" t="s">
        <v>431</v>
      </c>
      <c r="C357" s="49" t="s">
        <v>523</v>
      </c>
      <c r="D357" s="27" t="s">
        <v>45</v>
      </c>
      <c r="E357" s="68" t="s">
        <v>1557</v>
      </c>
      <c r="F357" s="14" t="s">
        <v>522</v>
      </c>
      <c r="G357" s="68"/>
    </row>
    <row r="358" spans="1:7" ht="57.6" x14ac:dyDescent="0.3">
      <c r="A358" s="38" t="s">
        <v>341</v>
      </c>
      <c r="B358" s="20" t="s">
        <v>431</v>
      </c>
      <c r="C358" s="49" t="s">
        <v>524</v>
      </c>
      <c r="D358" s="27" t="s">
        <v>1176</v>
      </c>
      <c r="E358" s="14" t="s">
        <v>525</v>
      </c>
      <c r="F358" s="14" t="s">
        <v>522</v>
      </c>
      <c r="G358" s="68"/>
    </row>
    <row r="359" spans="1:7" ht="57.6" x14ac:dyDescent="0.3">
      <c r="A359" s="38" t="s">
        <v>341</v>
      </c>
      <c r="B359" s="20" t="s">
        <v>431</v>
      </c>
      <c r="C359" s="49" t="s">
        <v>526</v>
      </c>
      <c r="D359" s="27" t="s">
        <v>41</v>
      </c>
      <c r="E359" s="68" t="s">
        <v>1558</v>
      </c>
      <c r="F359" s="68" t="s">
        <v>527</v>
      </c>
      <c r="G359" s="68"/>
    </row>
    <row r="360" spans="1:7" ht="57.6" x14ac:dyDescent="0.3">
      <c r="A360" s="38" t="s">
        <v>341</v>
      </c>
      <c r="B360" s="20" t="s">
        <v>431</v>
      </c>
      <c r="C360" s="49" t="s">
        <v>528</v>
      </c>
      <c r="D360" s="27" t="s">
        <v>45</v>
      </c>
      <c r="E360" s="68" t="s">
        <v>1559</v>
      </c>
      <c r="F360" s="68" t="s">
        <v>527</v>
      </c>
      <c r="G360" s="68"/>
    </row>
    <row r="361" spans="1:7" ht="58.2" thickBot="1" x14ac:dyDescent="0.35">
      <c r="A361" s="63" t="s">
        <v>341</v>
      </c>
      <c r="B361" s="64" t="s">
        <v>431</v>
      </c>
      <c r="C361" s="75" t="s">
        <v>529</v>
      </c>
      <c r="D361" s="66" t="s">
        <v>1176</v>
      </c>
      <c r="E361" s="107" t="s">
        <v>1560</v>
      </c>
      <c r="F361" s="107" t="s">
        <v>527</v>
      </c>
      <c r="G361" s="107"/>
    </row>
    <row r="362" spans="1:7" ht="75.45" customHeight="1" x14ac:dyDescent="0.3">
      <c r="A362" s="40" t="s">
        <v>341</v>
      </c>
      <c r="B362" s="16" t="s">
        <v>530</v>
      </c>
      <c r="C362" s="52" t="s">
        <v>531</v>
      </c>
      <c r="D362" s="26" t="s">
        <v>41</v>
      </c>
      <c r="E362" s="106" t="s">
        <v>1561</v>
      </c>
      <c r="F362" s="106" t="s">
        <v>1285</v>
      </c>
      <c r="G362" s="106"/>
    </row>
    <row r="363" spans="1:7" ht="72" x14ac:dyDescent="0.3">
      <c r="A363" s="115" t="s">
        <v>341</v>
      </c>
      <c r="B363" s="122" t="s">
        <v>530</v>
      </c>
      <c r="C363" s="129" t="s">
        <v>1855</v>
      </c>
      <c r="D363" s="130" t="s">
        <v>41</v>
      </c>
      <c r="E363" s="113" t="s">
        <v>1151</v>
      </c>
      <c r="F363" s="87" t="s">
        <v>1137</v>
      </c>
      <c r="G363" s="87"/>
    </row>
    <row r="364" spans="1:7" ht="57.6" x14ac:dyDescent="0.3">
      <c r="A364" s="38" t="s">
        <v>341</v>
      </c>
      <c r="B364" s="20" t="s">
        <v>530</v>
      </c>
      <c r="C364" s="49" t="s">
        <v>533</v>
      </c>
      <c r="D364" s="27" t="s">
        <v>45</v>
      </c>
      <c r="E364" s="68" t="s">
        <v>1562</v>
      </c>
      <c r="F364" s="14" t="s">
        <v>71</v>
      </c>
      <c r="G364" s="68" t="s">
        <v>532</v>
      </c>
    </row>
    <row r="365" spans="1:7" ht="57.6" x14ac:dyDescent="0.3">
      <c r="A365" s="38" t="s">
        <v>341</v>
      </c>
      <c r="B365" s="20" t="s">
        <v>530</v>
      </c>
      <c r="C365" s="49" t="s">
        <v>1172</v>
      </c>
      <c r="D365" s="27" t="s">
        <v>1176</v>
      </c>
      <c r="E365" s="14" t="s">
        <v>1150</v>
      </c>
      <c r="F365" s="14" t="s">
        <v>71</v>
      </c>
      <c r="G365" s="68" t="s">
        <v>532</v>
      </c>
    </row>
    <row r="366" spans="1:7" ht="82.2" customHeight="1" x14ac:dyDescent="0.3">
      <c r="A366" s="38" t="s">
        <v>341</v>
      </c>
      <c r="B366" s="20" t="s">
        <v>530</v>
      </c>
      <c r="C366" s="49" t="s">
        <v>534</v>
      </c>
      <c r="D366" s="27" t="s">
        <v>45</v>
      </c>
      <c r="E366" s="68" t="s">
        <v>1563</v>
      </c>
      <c r="F366" s="68" t="s">
        <v>387</v>
      </c>
      <c r="G366" s="68"/>
    </row>
    <row r="367" spans="1:7" ht="55.5" customHeight="1" x14ac:dyDescent="0.3">
      <c r="A367" s="38" t="s">
        <v>341</v>
      </c>
      <c r="B367" s="20" t="s">
        <v>530</v>
      </c>
      <c r="C367" s="49" t="s">
        <v>535</v>
      </c>
      <c r="D367" s="27" t="s">
        <v>1176</v>
      </c>
      <c r="E367" s="68" t="s">
        <v>1564</v>
      </c>
      <c r="F367" s="68" t="s">
        <v>387</v>
      </c>
      <c r="G367" s="68"/>
    </row>
    <row r="368" spans="1:7" ht="48" customHeight="1" x14ac:dyDescent="0.3">
      <c r="A368" s="38" t="s">
        <v>341</v>
      </c>
      <c r="B368" s="20" t="s">
        <v>530</v>
      </c>
      <c r="C368" s="49" t="s">
        <v>536</v>
      </c>
      <c r="D368" s="27" t="s">
        <v>1176</v>
      </c>
      <c r="E368" s="68" t="s">
        <v>1565</v>
      </c>
      <c r="F368" s="68" t="s">
        <v>387</v>
      </c>
      <c r="G368" s="68"/>
    </row>
    <row r="369" spans="1:7" ht="109.5" customHeight="1" x14ac:dyDescent="0.3">
      <c r="A369" s="42" t="s">
        <v>341</v>
      </c>
      <c r="B369" s="43" t="s">
        <v>530</v>
      </c>
      <c r="C369" s="55" t="s">
        <v>537</v>
      </c>
      <c r="D369" s="27" t="s">
        <v>41</v>
      </c>
      <c r="E369" s="87" t="s">
        <v>1566</v>
      </c>
      <c r="F369" s="68" t="s">
        <v>1294</v>
      </c>
      <c r="G369" s="87"/>
    </row>
    <row r="370" spans="1:7" ht="90.75" customHeight="1" x14ac:dyDescent="0.3">
      <c r="A370" s="42" t="s">
        <v>341</v>
      </c>
      <c r="B370" s="43" t="s">
        <v>530</v>
      </c>
      <c r="C370" s="55" t="s">
        <v>538</v>
      </c>
      <c r="D370" s="27" t="s">
        <v>45</v>
      </c>
      <c r="E370" s="87" t="s">
        <v>1567</v>
      </c>
      <c r="F370" s="68" t="s">
        <v>1294</v>
      </c>
      <c r="G370" s="87"/>
    </row>
    <row r="371" spans="1:7" ht="109.5" customHeight="1" x14ac:dyDescent="0.3">
      <c r="A371" s="42" t="s">
        <v>341</v>
      </c>
      <c r="B371" s="43" t="s">
        <v>530</v>
      </c>
      <c r="C371" s="55" t="s">
        <v>539</v>
      </c>
      <c r="D371" s="27" t="s">
        <v>1176</v>
      </c>
      <c r="E371" s="87" t="s">
        <v>1568</v>
      </c>
      <c r="F371" s="68" t="s">
        <v>1294</v>
      </c>
      <c r="G371" s="87"/>
    </row>
    <row r="372" spans="1:7" ht="57.6" x14ac:dyDescent="0.3">
      <c r="A372" s="38" t="s">
        <v>341</v>
      </c>
      <c r="B372" s="20" t="s">
        <v>530</v>
      </c>
      <c r="C372" s="54" t="s">
        <v>540</v>
      </c>
      <c r="D372" s="27" t="s">
        <v>45</v>
      </c>
      <c r="E372" s="68" t="s">
        <v>1569</v>
      </c>
      <c r="F372" s="68" t="s">
        <v>1295</v>
      </c>
      <c r="G372" s="68"/>
    </row>
    <row r="373" spans="1:7" ht="57.6" x14ac:dyDescent="0.3">
      <c r="A373" s="38" t="s">
        <v>341</v>
      </c>
      <c r="B373" s="20" t="s">
        <v>530</v>
      </c>
      <c r="C373" s="54" t="s">
        <v>541</v>
      </c>
      <c r="D373" s="27" t="s">
        <v>1176</v>
      </c>
      <c r="E373" s="68" t="s">
        <v>1570</v>
      </c>
      <c r="F373" s="68" t="s">
        <v>1295</v>
      </c>
      <c r="G373" s="68"/>
    </row>
    <row r="374" spans="1:7" ht="43.2" x14ac:dyDescent="0.3">
      <c r="A374" s="38" t="s">
        <v>341</v>
      </c>
      <c r="B374" s="20" t="s">
        <v>530</v>
      </c>
      <c r="C374" s="54" t="s">
        <v>542</v>
      </c>
      <c r="D374" s="27" t="s">
        <v>41</v>
      </c>
      <c r="E374" s="68" t="s">
        <v>1571</v>
      </c>
      <c r="F374" s="68" t="s">
        <v>1296</v>
      </c>
      <c r="G374" s="68"/>
    </row>
    <row r="375" spans="1:7" ht="86.4" x14ac:dyDescent="0.3">
      <c r="A375" s="38" t="s">
        <v>341</v>
      </c>
      <c r="B375" s="20" t="s">
        <v>530</v>
      </c>
      <c r="C375" s="54" t="s">
        <v>543</v>
      </c>
      <c r="D375" s="27" t="s">
        <v>45</v>
      </c>
      <c r="E375" s="68" t="s">
        <v>1572</v>
      </c>
      <c r="F375" s="68" t="s">
        <v>1297</v>
      </c>
      <c r="G375" s="68"/>
    </row>
    <row r="376" spans="1:7" ht="86.4" x14ac:dyDescent="0.3">
      <c r="A376" s="38" t="s">
        <v>341</v>
      </c>
      <c r="B376" s="20" t="s">
        <v>530</v>
      </c>
      <c r="C376" s="54" t="s">
        <v>544</v>
      </c>
      <c r="D376" s="27" t="s">
        <v>1176</v>
      </c>
      <c r="E376" s="68" t="s">
        <v>1573</v>
      </c>
      <c r="F376" s="68" t="s">
        <v>1297</v>
      </c>
      <c r="G376" s="68"/>
    </row>
    <row r="377" spans="1:7" ht="86.4" x14ac:dyDescent="0.3">
      <c r="A377" s="38" t="s">
        <v>341</v>
      </c>
      <c r="B377" s="20" t="s">
        <v>530</v>
      </c>
      <c r="C377" s="54" t="s">
        <v>545</v>
      </c>
      <c r="D377" s="27" t="s">
        <v>45</v>
      </c>
      <c r="E377" s="68" t="s">
        <v>1574</v>
      </c>
      <c r="F377" s="14" t="s">
        <v>546</v>
      </c>
      <c r="G377" s="68"/>
    </row>
    <row r="378" spans="1:7" ht="72" x14ac:dyDescent="0.3">
      <c r="A378" s="38" t="s">
        <v>341</v>
      </c>
      <c r="B378" s="20" t="s">
        <v>530</v>
      </c>
      <c r="C378" s="54" t="s">
        <v>547</v>
      </c>
      <c r="D378" s="27" t="s">
        <v>1176</v>
      </c>
      <c r="E378" s="68" t="s">
        <v>1575</v>
      </c>
      <c r="F378" s="14" t="s">
        <v>546</v>
      </c>
      <c r="G378" s="68"/>
    </row>
    <row r="379" spans="1:7" ht="43.2" x14ac:dyDescent="0.3">
      <c r="A379" s="38" t="s">
        <v>341</v>
      </c>
      <c r="B379" s="20" t="s">
        <v>530</v>
      </c>
      <c r="C379" s="54" t="s">
        <v>548</v>
      </c>
      <c r="D379" s="27" t="s">
        <v>41</v>
      </c>
      <c r="E379" s="68" t="s">
        <v>1576</v>
      </c>
      <c r="F379" s="68" t="s">
        <v>549</v>
      </c>
      <c r="G379" s="68"/>
    </row>
    <row r="380" spans="1:7" ht="43.2" x14ac:dyDescent="0.3">
      <c r="A380" s="38" t="s">
        <v>341</v>
      </c>
      <c r="B380" s="20" t="s">
        <v>530</v>
      </c>
      <c r="C380" s="54" t="s">
        <v>550</v>
      </c>
      <c r="D380" s="27" t="s">
        <v>41</v>
      </c>
      <c r="E380" s="68" t="s">
        <v>1577</v>
      </c>
      <c r="F380" s="14" t="s">
        <v>551</v>
      </c>
      <c r="G380" s="68"/>
    </row>
    <row r="381" spans="1:7" ht="72" x14ac:dyDescent="0.3">
      <c r="A381" s="38" t="s">
        <v>341</v>
      </c>
      <c r="B381" s="20" t="s">
        <v>530</v>
      </c>
      <c r="C381" s="54" t="s">
        <v>552</v>
      </c>
      <c r="D381" s="27" t="s">
        <v>45</v>
      </c>
      <c r="E381" s="68" t="s">
        <v>1578</v>
      </c>
      <c r="F381" s="68" t="s">
        <v>1298</v>
      </c>
      <c r="G381" s="68"/>
    </row>
    <row r="382" spans="1:7" ht="72" x14ac:dyDescent="0.3">
      <c r="A382" s="38" t="s">
        <v>341</v>
      </c>
      <c r="B382" s="20" t="s">
        <v>530</v>
      </c>
      <c r="C382" s="54" t="s">
        <v>554</v>
      </c>
      <c r="D382" s="27" t="s">
        <v>1176</v>
      </c>
      <c r="E382" s="68" t="s">
        <v>1579</v>
      </c>
      <c r="F382" s="68" t="s">
        <v>1298</v>
      </c>
      <c r="G382" s="68"/>
    </row>
    <row r="383" spans="1:7" ht="57.6" x14ac:dyDescent="0.3">
      <c r="A383" s="38" t="s">
        <v>341</v>
      </c>
      <c r="B383" s="20" t="s">
        <v>530</v>
      </c>
      <c r="C383" s="54" t="s">
        <v>555</v>
      </c>
      <c r="D383" s="27" t="s">
        <v>45</v>
      </c>
      <c r="E383" s="68" t="s">
        <v>1580</v>
      </c>
      <c r="F383" s="68" t="s">
        <v>556</v>
      </c>
      <c r="G383" s="68"/>
    </row>
    <row r="384" spans="1:7" ht="57.6" x14ac:dyDescent="0.3">
      <c r="A384" s="38" t="s">
        <v>341</v>
      </c>
      <c r="B384" s="20" t="s">
        <v>530</v>
      </c>
      <c r="C384" s="54" t="s">
        <v>557</v>
      </c>
      <c r="D384" s="27" t="s">
        <v>1176</v>
      </c>
      <c r="E384" s="68" t="s">
        <v>1581</v>
      </c>
      <c r="F384" s="68" t="s">
        <v>556</v>
      </c>
      <c r="G384" s="68"/>
    </row>
    <row r="385" spans="1:7" ht="43.2" x14ac:dyDescent="0.3">
      <c r="A385" s="38" t="s">
        <v>341</v>
      </c>
      <c r="B385" s="20" t="s">
        <v>530</v>
      </c>
      <c r="C385" s="54" t="s">
        <v>558</v>
      </c>
      <c r="D385" s="27" t="s">
        <v>45</v>
      </c>
      <c r="E385" s="14" t="s">
        <v>559</v>
      </c>
      <c r="F385" s="14" t="s">
        <v>71</v>
      </c>
      <c r="G385" s="68" t="s">
        <v>532</v>
      </c>
    </row>
    <row r="386" spans="1:7" ht="43.2" x14ac:dyDescent="0.3">
      <c r="A386" s="38" t="s">
        <v>341</v>
      </c>
      <c r="B386" s="20" t="s">
        <v>530</v>
      </c>
      <c r="C386" s="54" t="s">
        <v>560</v>
      </c>
      <c r="D386" s="27" t="s">
        <v>1176</v>
      </c>
      <c r="E386" s="14" t="s">
        <v>561</v>
      </c>
      <c r="F386" s="14" t="s">
        <v>71</v>
      </c>
      <c r="G386" s="68" t="s">
        <v>532</v>
      </c>
    </row>
    <row r="387" spans="1:7" ht="43.2" x14ac:dyDescent="0.3">
      <c r="A387" s="38" t="s">
        <v>341</v>
      </c>
      <c r="B387" s="20" t="s">
        <v>530</v>
      </c>
      <c r="C387" s="54" t="s">
        <v>562</v>
      </c>
      <c r="D387" s="27" t="s">
        <v>1176</v>
      </c>
      <c r="E387" s="68" t="s">
        <v>1582</v>
      </c>
      <c r="F387" s="14" t="s">
        <v>71</v>
      </c>
      <c r="G387" s="68" t="s">
        <v>532</v>
      </c>
    </row>
    <row r="388" spans="1:7" ht="43.2" x14ac:dyDescent="0.3">
      <c r="A388" s="38" t="s">
        <v>341</v>
      </c>
      <c r="B388" s="20" t="s">
        <v>530</v>
      </c>
      <c r="C388" s="54" t="s">
        <v>563</v>
      </c>
      <c r="D388" s="27" t="s">
        <v>1176</v>
      </c>
      <c r="E388" s="68" t="s">
        <v>1583</v>
      </c>
      <c r="F388" s="14" t="s">
        <v>71</v>
      </c>
      <c r="G388" s="68"/>
    </row>
    <row r="389" spans="1:7" ht="57.6" x14ac:dyDescent="0.3">
      <c r="A389" s="20" t="s">
        <v>341</v>
      </c>
      <c r="B389" s="20" t="s">
        <v>530</v>
      </c>
      <c r="C389" s="49" t="s">
        <v>564</v>
      </c>
      <c r="D389" s="27" t="s">
        <v>45</v>
      </c>
      <c r="E389" s="68" t="s">
        <v>1584</v>
      </c>
      <c r="F389" s="68" t="s">
        <v>387</v>
      </c>
      <c r="G389" s="68"/>
    </row>
    <row r="390" spans="1:7" ht="43.2" x14ac:dyDescent="0.3">
      <c r="A390" s="40" t="s">
        <v>341</v>
      </c>
      <c r="B390" s="16" t="s">
        <v>530</v>
      </c>
      <c r="C390" s="52" t="s">
        <v>565</v>
      </c>
      <c r="D390" s="26" t="s">
        <v>1176</v>
      </c>
      <c r="E390" s="106" t="s">
        <v>1585</v>
      </c>
      <c r="F390" s="106" t="s">
        <v>387</v>
      </c>
      <c r="G390" s="109"/>
    </row>
    <row r="391" spans="1:7" ht="53.7" customHeight="1" x14ac:dyDescent="0.3">
      <c r="A391" s="38" t="s">
        <v>341</v>
      </c>
      <c r="B391" s="20" t="s">
        <v>530</v>
      </c>
      <c r="C391" s="49" t="s">
        <v>566</v>
      </c>
      <c r="D391" s="27" t="s">
        <v>1176</v>
      </c>
      <c r="E391" s="68" t="s">
        <v>1586</v>
      </c>
      <c r="F391" s="68" t="s">
        <v>387</v>
      </c>
      <c r="G391" s="68"/>
    </row>
    <row r="392" spans="1:7" s="36" customFormat="1" ht="57.6" x14ac:dyDescent="0.3">
      <c r="A392" s="38" t="s">
        <v>341</v>
      </c>
      <c r="B392" s="20" t="s">
        <v>530</v>
      </c>
      <c r="C392" s="54" t="s">
        <v>567</v>
      </c>
      <c r="D392" s="27" t="s">
        <v>45</v>
      </c>
      <c r="E392" s="68" t="s">
        <v>1587</v>
      </c>
      <c r="F392" s="68" t="s">
        <v>1299</v>
      </c>
      <c r="G392" s="68"/>
    </row>
    <row r="393" spans="1:7" s="36" customFormat="1" ht="57.6" x14ac:dyDescent="0.3">
      <c r="A393" s="38" t="s">
        <v>341</v>
      </c>
      <c r="B393" s="20" t="s">
        <v>530</v>
      </c>
      <c r="C393" s="54" t="s">
        <v>568</v>
      </c>
      <c r="D393" s="27" t="s">
        <v>1176</v>
      </c>
      <c r="E393" s="68" t="s">
        <v>1588</v>
      </c>
      <c r="F393" s="68" t="s">
        <v>1299</v>
      </c>
      <c r="G393" s="68"/>
    </row>
    <row r="394" spans="1:7" s="36" customFormat="1" ht="72" x14ac:dyDescent="0.3">
      <c r="A394" s="38" t="s">
        <v>341</v>
      </c>
      <c r="B394" s="20" t="s">
        <v>530</v>
      </c>
      <c r="C394" s="54" t="s">
        <v>569</v>
      </c>
      <c r="D394" s="27" t="s">
        <v>1176</v>
      </c>
      <c r="E394" s="68" t="s">
        <v>1589</v>
      </c>
      <c r="F394" s="68" t="s">
        <v>1299</v>
      </c>
      <c r="G394" s="68"/>
    </row>
    <row r="395" spans="1:7" s="36" customFormat="1" ht="72" x14ac:dyDescent="0.3">
      <c r="A395" s="38" t="s">
        <v>341</v>
      </c>
      <c r="B395" s="20" t="s">
        <v>530</v>
      </c>
      <c r="C395" s="54" t="s">
        <v>570</v>
      </c>
      <c r="D395" s="27" t="s">
        <v>1176</v>
      </c>
      <c r="E395" s="68" t="s">
        <v>1590</v>
      </c>
      <c r="F395" s="68" t="s">
        <v>1299</v>
      </c>
      <c r="G395" s="68"/>
    </row>
    <row r="396" spans="1:7" s="36" customFormat="1" ht="43.2" x14ac:dyDescent="0.3">
      <c r="A396" s="38" t="s">
        <v>341</v>
      </c>
      <c r="B396" s="20" t="s">
        <v>530</v>
      </c>
      <c r="C396" s="54" t="s">
        <v>571</v>
      </c>
      <c r="D396" s="26" t="s">
        <v>41</v>
      </c>
      <c r="E396" s="68" t="s">
        <v>1591</v>
      </c>
      <c r="F396" s="68" t="s">
        <v>1299</v>
      </c>
      <c r="G396" s="68"/>
    </row>
    <row r="397" spans="1:7" s="36" customFormat="1" ht="57.6" x14ac:dyDescent="0.3">
      <c r="A397" s="38" t="s">
        <v>341</v>
      </c>
      <c r="B397" s="20" t="s">
        <v>530</v>
      </c>
      <c r="C397" s="54" t="s">
        <v>572</v>
      </c>
      <c r="D397" s="27" t="s">
        <v>45</v>
      </c>
      <c r="E397" s="68" t="s">
        <v>1592</v>
      </c>
      <c r="F397" s="68" t="s">
        <v>1299</v>
      </c>
      <c r="G397" s="68"/>
    </row>
    <row r="398" spans="1:7" ht="57.6" x14ac:dyDescent="0.3">
      <c r="A398" s="38" t="s">
        <v>341</v>
      </c>
      <c r="B398" s="20" t="s">
        <v>530</v>
      </c>
      <c r="C398" s="54" t="s">
        <v>573</v>
      </c>
      <c r="D398" s="27" t="s">
        <v>1176</v>
      </c>
      <c r="E398" s="68" t="s">
        <v>1593</v>
      </c>
      <c r="F398" s="68" t="s">
        <v>1299</v>
      </c>
      <c r="G398" s="68"/>
    </row>
    <row r="399" spans="1:7" ht="57.6" x14ac:dyDescent="0.3">
      <c r="A399" s="38" t="s">
        <v>341</v>
      </c>
      <c r="B399" s="20" t="s">
        <v>530</v>
      </c>
      <c r="C399" s="54" t="s">
        <v>574</v>
      </c>
      <c r="D399" s="27" t="s">
        <v>1176</v>
      </c>
      <c r="E399" s="68" t="s">
        <v>1594</v>
      </c>
      <c r="F399" s="14" t="s">
        <v>553</v>
      </c>
      <c r="G399" s="68"/>
    </row>
    <row r="400" spans="1:7" ht="57.6" x14ac:dyDescent="0.3">
      <c r="A400" s="38" t="s">
        <v>341</v>
      </c>
      <c r="B400" s="20" t="s">
        <v>530</v>
      </c>
      <c r="C400" s="54" t="s">
        <v>575</v>
      </c>
      <c r="D400" s="27" t="s">
        <v>41</v>
      </c>
      <c r="E400" s="68" t="s">
        <v>1595</v>
      </c>
      <c r="F400" s="14" t="s">
        <v>576</v>
      </c>
      <c r="G400" s="68"/>
    </row>
    <row r="401" spans="1:7" ht="72" x14ac:dyDescent="0.3">
      <c r="A401" s="38" t="s">
        <v>341</v>
      </c>
      <c r="B401" s="20" t="s">
        <v>530</v>
      </c>
      <c r="C401" s="54" t="s">
        <v>577</v>
      </c>
      <c r="D401" s="26" t="s">
        <v>45</v>
      </c>
      <c r="E401" s="68" t="s">
        <v>1596</v>
      </c>
      <c r="F401" s="14" t="s">
        <v>576</v>
      </c>
      <c r="G401" s="68"/>
    </row>
    <row r="402" spans="1:7" ht="72" x14ac:dyDescent="0.3">
      <c r="A402" s="38" t="s">
        <v>341</v>
      </c>
      <c r="B402" s="20" t="s">
        <v>530</v>
      </c>
      <c r="C402" s="54" t="s">
        <v>578</v>
      </c>
      <c r="D402" s="27" t="s">
        <v>1176</v>
      </c>
      <c r="E402" s="68" t="s">
        <v>1597</v>
      </c>
      <c r="F402" s="14" t="s">
        <v>576</v>
      </c>
      <c r="G402" s="68"/>
    </row>
    <row r="403" spans="1:7" ht="86.4" x14ac:dyDescent="0.3">
      <c r="A403" s="38" t="s">
        <v>341</v>
      </c>
      <c r="B403" s="20" t="s">
        <v>530</v>
      </c>
      <c r="C403" s="54" t="s">
        <v>579</v>
      </c>
      <c r="D403" s="27" t="s">
        <v>1176</v>
      </c>
      <c r="E403" s="68" t="s">
        <v>1598</v>
      </c>
      <c r="F403" s="14" t="s">
        <v>576</v>
      </c>
      <c r="G403" s="68"/>
    </row>
    <row r="404" spans="1:7" ht="72" x14ac:dyDescent="0.3">
      <c r="A404" s="38" t="s">
        <v>341</v>
      </c>
      <c r="B404" s="20" t="s">
        <v>530</v>
      </c>
      <c r="C404" s="54" t="s">
        <v>580</v>
      </c>
      <c r="D404" s="27" t="s">
        <v>1176</v>
      </c>
      <c r="E404" s="68" t="s">
        <v>1599</v>
      </c>
      <c r="F404" s="14" t="s">
        <v>576</v>
      </c>
      <c r="G404" s="68"/>
    </row>
    <row r="405" spans="1:7" ht="72" x14ac:dyDescent="0.3">
      <c r="A405" s="38" t="s">
        <v>341</v>
      </c>
      <c r="B405" s="20" t="s">
        <v>530</v>
      </c>
      <c r="C405" s="54" t="s">
        <v>581</v>
      </c>
      <c r="D405" s="27" t="s">
        <v>41</v>
      </c>
      <c r="E405" s="68" t="s">
        <v>1600</v>
      </c>
      <c r="F405" s="14" t="s">
        <v>576</v>
      </c>
      <c r="G405" s="68"/>
    </row>
    <row r="406" spans="1:7" ht="72" x14ac:dyDescent="0.3">
      <c r="A406" s="38" t="s">
        <v>341</v>
      </c>
      <c r="B406" s="20" t="s">
        <v>530</v>
      </c>
      <c r="C406" s="54" t="s">
        <v>582</v>
      </c>
      <c r="D406" s="26" t="s">
        <v>45</v>
      </c>
      <c r="E406" s="68" t="s">
        <v>1601</v>
      </c>
      <c r="F406" s="14" t="s">
        <v>576</v>
      </c>
      <c r="G406" s="68"/>
    </row>
    <row r="407" spans="1:7" ht="57.6" x14ac:dyDescent="0.3">
      <c r="A407" s="38" t="s">
        <v>341</v>
      </c>
      <c r="B407" s="20" t="s">
        <v>530</v>
      </c>
      <c r="C407" s="54" t="s">
        <v>583</v>
      </c>
      <c r="D407" s="26" t="s">
        <v>1176</v>
      </c>
      <c r="E407" s="68" t="s">
        <v>1602</v>
      </c>
      <c r="F407" s="14" t="s">
        <v>576</v>
      </c>
      <c r="G407" s="68"/>
    </row>
    <row r="408" spans="1:7" ht="72" x14ac:dyDescent="0.3">
      <c r="A408" s="38" t="s">
        <v>341</v>
      </c>
      <c r="B408" s="20" t="s">
        <v>530</v>
      </c>
      <c r="C408" s="54" t="s">
        <v>584</v>
      </c>
      <c r="D408" s="27" t="s">
        <v>1176</v>
      </c>
      <c r="E408" s="68" t="s">
        <v>1603</v>
      </c>
      <c r="F408" s="14" t="s">
        <v>576</v>
      </c>
      <c r="G408" s="68"/>
    </row>
    <row r="409" spans="1:7" ht="86.4" x14ac:dyDescent="0.3">
      <c r="A409" s="38" t="s">
        <v>341</v>
      </c>
      <c r="B409" s="20" t="s">
        <v>530</v>
      </c>
      <c r="C409" s="54" t="s">
        <v>585</v>
      </c>
      <c r="D409" s="27" t="s">
        <v>41</v>
      </c>
      <c r="E409" s="114" t="s">
        <v>1604</v>
      </c>
      <c r="F409" s="14" t="s">
        <v>586</v>
      </c>
      <c r="G409" s="68"/>
    </row>
    <row r="410" spans="1:7" s="36" customFormat="1" ht="57.6" x14ac:dyDescent="0.3">
      <c r="A410" s="38" t="s">
        <v>341</v>
      </c>
      <c r="B410" s="20" t="s">
        <v>530</v>
      </c>
      <c r="C410" s="54" t="s">
        <v>587</v>
      </c>
      <c r="D410" s="27" t="s">
        <v>45</v>
      </c>
      <c r="E410" s="68" t="s">
        <v>1605</v>
      </c>
      <c r="F410" s="14" t="s">
        <v>576</v>
      </c>
      <c r="G410" s="68"/>
    </row>
    <row r="411" spans="1:7" s="44" customFormat="1" ht="57.6" x14ac:dyDescent="0.3">
      <c r="A411" s="38" t="s">
        <v>341</v>
      </c>
      <c r="B411" s="20" t="s">
        <v>530</v>
      </c>
      <c r="C411" s="54" t="s">
        <v>588</v>
      </c>
      <c r="D411" s="27" t="s">
        <v>1176</v>
      </c>
      <c r="E411" s="68" t="s">
        <v>1606</v>
      </c>
      <c r="F411" s="14" t="s">
        <v>576</v>
      </c>
      <c r="G411" s="68"/>
    </row>
    <row r="412" spans="1:7" s="44" customFormat="1" ht="72" x14ac:dyDescent="0.3">
      <c r="A412" s="38" t="s">
        <v>341</v>
      </c>
      <c r="B412" s="20" t="s">
        <v>530</v>
      </c>
      <c r="C412" s="54" t="s">
        <v>589</v>
      </c>
      <c r="D412" s="27" t="s">
        <v>1176</v>
      </c>
      <c r="E412" s="68" t="s">
        <v>1607</v>
      </c>
      <c r="F412" s="14" t="s">
        <v>576</v>
      </c>
      <c r="G412" s="68"/>
    </row>
    <row r="413" spans="1:7" s="44" customFormat="1" ht="57.6" x14ac:dyDescent="0.3">
      <c r="A413" s="38" t="s">
        <v>341</v>
      </c>
      <c r="B413" s="20" t="s">
        <v>530</v>
      </c>
      <c r="C413" s="54" t="s">
        <v>590</v>
      </c>
      <c r="D413" s="27" t="s">
        <v>1176</v>
      </c>
      <c r="E413" s="68" t="s">
        <v>1608</v>
      </c>
      <c r="F413" s="14" t="s">
        <v>576</v>
      </c>
      <c r="G413" s="68"/>
    </row>
    <row r="414" spans="1:7" ht="86.4" x14ac:dyDescent="0.3">
      <c r="A414" s="38" t="s">
        <v>341</v>
      </c>
      <c r="B414" s="20" t="s">
        <v>530</v>
      </c>
      <c r="C414" s="54" t="s">
        <v>591</v>
      </c>
      <c r="D414" s="27" t="s">
        <v>45</v>
      </c>
      <c r="E414" s="68" t="s">
        <v>1609</v>
      </c>
      <c r="F414" s="68" t="s">
        <v>1145</v>
      </c>
      <c r="G414" s="68"/>
    </row>
    <row r="415" spans="1:7" ht="72" x14ac:dyDescent="0.3">
      <c r="A415" s="38" t="s">
        <v>341</v>
      </c>
      <c r="B415" s="20" t="s">
        <v>530</v>
      </c>
      <c r="C415" s="54" t="s">
        <v>592</v>
      </c>
      <c r="D415" s="27" t="s">
        <v>1176</v>
      </c>
      <c r="E415" s="68" t="s">
        <v>1610</v>
      </c>
      <c r="F415" s="68" t="s">
        <v>1145</v>
      </c>
      <c r="G415" s="68"/>
    </row>
    <row r="416" spans="1:7" ht="43.2" x14ac:dyDescent="0.3">
      <c r="A416" s="38" t="s">
        <v>341</v>
      </c>
      <c r="B416" s="20" t="s">
        <v>530</v>
      </c>
      <c r="C416" s="54" t="s">
        <v>593</v>
      </c>
      <c r="D416" s="27" t="s">
        <v>45</v>
      </c>
      <c r="E416" s="68" t="s">
        <v>1611</v>
      </c>
      <c r="F416" s="68" t="s">
        <v>322</v>
      </c>
      <c r="G416" s="68"/>
    </row>
    <row r="417" spans="1:7" ht="43.2" x14ac:dyDescent="0.3">
      <c r="A417" s="38" t="s">
        <v>341</v>
      </c>
      <c r="B417" s="20" t="s">
        <v>530</v>
      </c>
      <c r="C417" s="54" t="s">
        <v>594</v>
      </c>
      <c r="D417" s="27" t="s">
        <v>1176</v>
      </c>
      <c r="E417" s="68" t="s">
        <v>1612</v>
      </c>
      <c r="F417" s="68" t="s">
        <v>322</v>
      </c>
      <c r="G417" s="68"/>
    </row>
    <row r="418" spans="1:7" ht="72" x14ac:dyDescent="0.3">
      <c r="A418" s="38" t="s">
        <v>341</v>
      </c>
      <c r="B418" s="20" t="s">
        <v>530</v>
      </c>
      <c r="C418" s="54" t="s">
        <v>595</v>
      </c>
      <c r="D418" s="27" t="s">
        <v>45</v>
      </c>
      <c r="E418" s="68" t="s">
        <v>1613</v>
      </c>
      <c r="F418" s="68" t="s">
        <v>322</v>
      </c>
      <c r="G418" s="68"/>
    </row>
    <row r="419" spans="1:7" ht="43.2" x14ac:dyDescent="0.3">
      <c r="A419" s="38" t="s">
        <v>341</v>
      </c>
      <c r="B419" s="20" t="s">
        <v>530</v>
      </c>
      <c r="C419" s="54" t="s">
        <v>596</v>
      </c>
      <c r="D419" s="27" t="s">
        <v>1176</v>
      </c>
      <c r="E419" s="68" t="s">
        <v>1614</v>
      </c>
      <c r="F419" s="68" t="s">
        <v>322</v>
      </c>
      <c r="G419" s="68"/>
    </row>
    <row r="420" spans="1:7" ht="43.2" x14ac:dyDescent="0.3">
      <c r="A420" s="38" t="s">
        <v>341</v>
      </c>
      <c r="B420" s="20" t="s">
        <v>530</v>
      </c>
      <c r="C420" s="54" t="s">
        <v>597</v>
      </c>
      <c r="D420" s="27" t="s">
        <v>1176</v>
      </c>
      <c r="E420" s="68" t="s">
        <v>1615</v>
      </c>
      <c r="F420" s="68" t="s">
        <v>322</v>
      </c>
      <c r="G420" s="68"/>
    </row>
    <row r="421" spans="1:7" ht="43.2" x14ac:dyDescent="0.3">
      <c r="A421" s="38" t="s">
        <v>341</v>
      </c>
      <c r="B421" s="20" t="s">
        <v>530</v>
      </c>
      <c r="C421" s="54" t="s">
        <v>598</v>
      </c>
      <c r="D421" s="27" t="s">
        <v>45</v>
      </c>
      <c r="E421" s="68" t="s">
        <v>1616</v>
      </c>
      <c r="F421" s="68" t="s">
        <v>357</v>
      </c>
      <c r="G421" s="68"/>
    </row>
    <row r="422" spans="1:7" ht="43.2" x14ac:dyDescent="0.3">
      <c r="A422" s="38" t="s">
        <v>341</v>
      </c>
      <c r="B422" s="20" t="s">
        <v>530</v>
      </c>
      <c r="C422" s="54" t="s">
        <v>599</v>
      </c>
      <c r="D422" s="27" t="s">
        <v>1176</v>
      </c>
      <c r="E422" s="68" t="s">
        <v>1617</v>
      </c>
      <c r="F422" s="68" t="s">
        <v>600</v>
      </c>
      <c r="G422" s="68"/>
    </row>
    <row r="423" spans="1:7" ht="57.6" x14ac:dyDescent="0.3">
      <c r="A423" s="38" t="s">
        <v>341</v>
      </c>
      <c r="B423" s="20" t="s">
        <v>530</v>
      </c>
      <c r="C423" s="54" t="s">
        <v>601</v>
      </c>
      <c r="D423" s="26" t="s">
        <v>1176</v>
      </c>
      <c r="E423" s="68" t="s">
        <v>1618</v>
      </c>
      <c r="F423" s="68" t="s">
        <v>357</v>
      </c>
      <c r="G423" s="68"/>
    </row>
    <row r="424" spans="1:7" ht="43.2" x14ac:dyDescent="0.3">
      <c r="A424" s="38" t="s">
        <v>341</v>
      </c>
      <c r="B424" s="20" t="s">
        <v>530</v>
      </c>
      <c r="C424" s="54" t="s">
        <v>602</v>
      </c>
      <c r="D424" s="27" t="s">
        <v>45</v>
      </c>
      <c r="E424" s="68" t="s">
        <v>1619</v>
      </c>
      <c r="F424" s="68" t="s">
        <v>322</v>
      </c>
      <c r="G424" s="68"/>
    </row>
    <row r="425" spans="1:7" ht="43.2" x14ac:dyDescent="0.3">
      <c r="A425" s="38" t="s">
        <v>341</v>
      </c>
      <c r="B425" s="20" t="s">
        <v>530</v>
      </c>
      <c r="C425" s="54" t="s">
        <v>603</v>
      </c>
      <c r="D425" s="27" t="s">
        <v>1176</v>
      </c>
      <c r="E425" s="68" t="s">
        <v>1620</v>
      </c>
      <c r="F425" s="68" t="s">
        <v>322</v>
      </c>
      <c r="G425" s="68"/>
    </row>
    <row r="426" spans="1:7" ht="86.4" x14ac:dyDescent="0.3">
      <c r="A426" s="38" t="s">
        <v>341</v>
      </c>
      <c r="B426" s="20" t="s">
        <v>530</v>
      </c>
      <c r="C426" s="54" t="s">
        <v>604</v>
      </c>
      <c r="D426" s="27" t="s">
        <v>1176</v>
      </c>
      <c r="E426" s="68" t="s">
        <v>1621</v>
      </c>
      <c r="F426" s="14" t="s">
        <v>605</v>
      </c>
      <c r="G426" s="68"/>
    </row>
    <row r="427" spans="1:7" ht="57.6" x14ac:dyDescent="0.3">
      <c r="A427" s="38" t="s">
        <v>341</v>
      </c>
      <c r="B427" s="20" t="s">
        <v>530</v>
      </c>
      <c r="C427" s="54" t="s">
        <v>606</v>
      </c>
      <c r="D427" s="26" t="s">
        <v>41</v>
      </c>
      <c r="E427" s="68" t="s">
        <v>1622</v>
      </c>
      <c r="F427" s="68" t="s">
        <v>476</v>
      </c>
      <c r="G427" s="68"/>
    </row>
    <row r="428" spans="1:7" ht="43.2" x14ac:dyDescent="0.3">
      <c r="A428" s="38" t="s">
        <v>341</v>
      </c>
      <c r="B428" s="20" t="s">
        <v>530</v>
      </c>
      <c r="C428" s="54" t="s">
        <v>607</v>
      </c>
      <c r="D428" s="27" t="s">
        <v>45</v>
      </c>
      <c r="E428" s="68" t="s">
        <v>1623</v>
      </c>
      <c r="F428" s="68" t="s">
        <v>476</v>
      </c>
      <c r="G428" s="68"/>
    </row>
    <row r="429" spans="1:7" ht="57.6" x14ac:dyDescent="0.3">
      <c r="A429" s="38" t="s">
        <v>341</v>
      </c>
      <c r="B429" s="20" t="s">
        <v>530</v>
      </c>
      <c r="C429" s="54" t="s">
        <v>608</v>
      </c>
      <c r="D429" s="27" t="s">
        <v>1176</v>
      </c>
      <c r="E429" s="68" t="s">
        <v>1624</v>
      </c>
      <c r="F429" s="68" t="s">
        <v>476</v>
      </c>
      <c r="G429" s="68"/>
    </row>
    <row r="430" spans="1:7" ht="57.6" x14ac:dyDescent="0.3">
      <c r="A430" s="38" t="s">
        <v>341</v>
      </c>
      <c r="B430" s="20" t="s">
        <v>530</v>
      </c>
      <c r="C430" s="54" t="s">
        <v>609</v>
      </c>
      <c r="D430" s="27" t="s">
        <v>1176</v>
      </c>
      <c r="E430" s="68" t="s">
        <v>1625</v>
      </c>
      <c r="F430" s="68" t="s">
        <v>476</v>
      </c>
      <c r="G430" s="68"/>
    </row>
    <row r="431" spans="1:7" ht="70.2" customHeight="1" x14ac:dyDescent="0.3">
      <c r="A431" s="38" t="s">
        <v>341</v>
      </c>
      <c r="B431" s="20" t="s">
        <v>530</v>
      </c>
      <c r="C431" s="54" t="s">
        <v>610</v>
      </c>
      <c r="D431" s="27" t="s">
        <v>41</v>
      </c>
      <c r="E431" s="68" t="s">
        <v>1626</v>
      </c>
      <c r="F431" s="68" t="s">
        <v>428</v>
      </c>
      <c r="G431" s="68"/>
    </row>
    <row r="432" spans="1:7" ht="57.6" x14ac:dyDescent="0.3">
      <c r="A432" s="38" t="s">
        <v>341</v>
      </c>
      <c r="B432" s="20" t="s">
        <v>530</v>
      </c>
      <c r="C432" s="54" t="s">
        <v>611</v>
      </c>
      <c r="D432" s="26" t="s">
        <v>45</v>
      </c>
      <c r="E432" s="68" t="s">
        <v>1627</v>
      </c>
      <c r="F432" s="68" t="s">
        <v>428</v>
      </c>
      <c r="G432" s="68"/>
    </row>
    <row r="433" spans="1:7" ht="63.75" customHeight="1" thickBot="1" x14ac:dyDescent="0.35">
      <c r="A433" s="63" t="s">
        <v>341</v>
      </c>
      <c r="B433" s="64" t="s">
        <v>530</v>
      </c>
      <c r="C433" s="65" t="s">
        <v>612</v>
      </c>
      <c r="D433" s="66" t="s">
        <v>1176</v>
      </c>
      <c r="E433" s="107" t="s">
        <v>1628</v>
      </c>
      <c r="F433" s="107" t="s">
        <v>428</v>
      </c>
      <c r="G433" s="107"/>
    </row>
    <row r="434" spans="1:7" s="119" customFormat="1" ht="86.4" x14ac:dyDescent="0.3">
      <c r="A434" s="121" t="s">
        <v>341</v>
      </c>
      <c r="B434" s="122" t="s">
        <v>613</v>
      </c>
      <c r="C434" s="123" t="s">
        <v>1856</v>
      </c>
      <c r="D434" s="124" t="s">
        <v>45</v>
      </c>
      <c r="E434" s="111" t="s">
        <v>1629</v>
      </c>
      <c r="F434" s="111" t="s">
        <v>101</v>
      </c>
      <c r="G434" s="111"/>
    </row>
    <row r="435" spans="1:7" s="119" customFormat="1" ht="43.2" x14ac:dyDescent="0.3">
      <c r="A435" s="115" t="s">
        <v>341</v>
      </c>
      <c r="B435" s="116" t="s">
        <v>613</v>
      </c>
      <c r="C435" s="117" t="s">
        <v>1857</v>
      </c>
      <c r="D435" s="118" t="s">
        <v>1176</v>
      </c>
      <c r="E435" s="87" t="s">
        <v>1630</v>
      </c>
      <c r="F435" s="87" t="s">
        <v>101</v>
      </c>
      <c r="G435" s="87"/>
    </row>
    <row r="436" spans="1:7" s="119" customFormat="1" ht="57.6" x14ac:dyDescent="0.3">
      <c r="A436" s="115" t="s">
        <v>341</v>
      </c>
      <c r="B436" s="116" t="s">
        <v>613</v>
      </c>
      <c r="C436" s="117" t="s">
        <v>1858</v>
      </c>
      <c r="D436" s="124" t="s">
        <v>41</v>
      </c>
      <c r="E436" s="87" t="s">
        <v>1631</v>
      </c>
      <c r="F436" s="87" t="s">
        <v>101</v>
      </c>
      <c r="G436" s="87"/>
    </row>
    <row r="437" spans="1:7" s="119" customFormat="1" ht="115.2" x14ac:dyDescent="0.3">
      <c r="A437" s="115" t="s">
        <v>341</v>
      </c>
      <c r="B437" s="116" t="s">
        <v>613</v>
      </c>
      <c r="C437" s="117" t="s">
        <v>1859</v>
      </c>
      <c r="D437" s="118" t="s">
        <v>45</v>
      </c>
      <c r="E437" s="87" t="s">
        <v>1632</v>
      </c>
      <c r="F437" s="87" t="s">
        <v>101</v>
      </c>
      <c r="G437" s="87"/>
    </row>
    <row r="438" spans="1:7" s="119" customFormat="1" ht="43.2" x14ac:dyDescent="0.3">
      <c r="A438" s="115" t="s">
        <v>341</v>
      </c>
      <c r="B438" s="116" t="s">
        <v>613</v>
      </c>
      <c r="C438" s="117" t="s">
        <v>1860</v>
      </c>
      <c r="D438" s="118" t="s">
        <v>1176</v>
      </c>
      <c r="E438" s="87" t="s">
        <v>1633</v>
      </c>
      <c r="F438" s="87" t="s">
        <v>71</v>
      </c>
      <c r="G438" s="87"/>
    </row>
    <row r="439" spans="1:7" s="119" customFormat="1" ht="58.2" thickBot="1" x14ac:dyDescent="0.35">
      <c r="A439" s="125" t="s">
        <v>341</v>
      </c>
      <c r="B439" s="126" t="s">
        <v>613</v>
      </c>
      <c r="C439" s="127" t="s">
        <v>1861</v>
      </c>
      <c r="D439" s="128" t="s">
        <v>1176</v>
      </c>
      <c r="E439" s="112" t="s">
        <v>1634</v>
      </c>
      <c r="F439" s="112" t="s">
        <v>71</v>
      </c>
      <c r="G439" s="112"/>
    </row>
    <row r="440" spans="1:7" ht="57.6" x14ac:dyDescent="0.3">
      <c r="A440" s="40" t="s">
        <v>341</v>
      </c>
      <c r="B440" s="46" t="s">
        <v>614</v>
      </c>
      <c r="C440" s="56" t="s">
        <v>615</v>
      </c>
      <c r="D440" s="26" t="s">
        <v>45</v>
      </c>
      <c r="E440" s="106" t="s">
        <v>1635</v>
      </c>
      <c r="F440" s="106" t="s">
        <v>616</v>
      </c>
      <c r="G440" s="106"/>
    </row>
    <row r="441" spans="1:7" ht="43.2" x14ac:dyDescent="0.3">
      <c r="A441" s="38" t="s">
        <v>341</v>
      </c>
      <c r="B441" s="48" t="s">
        <v>614</v>
      </c>
      <c r="C441" s="53" t="s">
        <v>617</v>
      </c>
      <c r="D441" s="27" t="s">
        <v>1176</v>
      </c>
      <c r="E441" s="68" t="s">
        <v>1636</v>
      </c>
      <c r="F441" s="68" t="s">
        <v>616</v>
      </c>
      <c r="G441" s="68"/>
    </row>
    <row r="442" spans="1:7" ht="43.2" x14ac:dyDescent="0.3">
      <c r="A442" s="38" t="s">
        <v>341</v>
      </c>
      <c r="B442" s="48" t="s">
        <v>614</v>
      </c>
      <c r="C442" s="53" t="s">
        <v>618</v>
      </c>
      <c r="D442" s="27" t="s">
        <v>1176</v>
      </c>
      <c r="E442" s="68" t="s">
        <v>1637</v>
      </c>
      <c r="F442" s="68" t="s">
        <v>616</v>
      </c>
      <c r="G442" s="68"/>
    </row>
    <row r="443" spans="1:7" ht="43.2" x14ac:dyDescent="0.3">
      <c r="A443" s="38" t="s">
        <v>341</v>
      </c>
      <c r="B443" s="48" t="s">
        <v>614</v>
      </c>
      <c r="C443" s="53" t="s">
        <v>619</v>
      </c>
      <c r="D443" s="27" t="s">
        <v>41</v>
      </c>
      <c r="E443" s="68" t="s">
        <v>1638</v>
      </c>
      <c r="F443" s="68" t="s">
        <v>616</v>
      </c>
      <c r="G443" s="68"/>
    </row>
    <row r="444" spans="1:7" ht="57.6" x14ac:dyDescent="0.3">
      <c r="A444" s="38" t="s">
        <v>341</v>
      </c>
      <c r="B444" s="48" t="s">
        <v>614</v>
      </c>
      <c r="C444" s="53" t="s">
        <v>620</v>
      </c>
      <c r="D444" s="27" t="s">
        <v>45</v>
      </c>
      <c r="E444" s="68" t="s">
        <v>1639</v>
      </c>
      <c r="F444" s="68" t="s">
        <v>616</v>
      </c>
      <c r="G444" s="68"/>
    </row>
    <row r="445" spans="1:7" ht="57.6" x14ac:dyDescent="0.3">
      <c r="A445" s="38" t="s">
        <v>341</v>
      </c>
      <c r="B445" s="48" t="s">
        <v>614</v>
      </c>
      <c r="C445" s="53" t="s">
        <v>621</v>
      </c>
      <c r="D445" s="27" t="s">
        <v>1176</v>
      </c>
      <c r="E445" s="68" t="s">
        <v>1640</v>
      </c>
      <c r="F445" s="68" t="s">
        <v>616</v>
      </c>
      <c r="G445" s="68"/>
    </row>
    <row r="446" spans="1:7" ht="57.6" x14ac:dyDescent="0.3">
      <c r="A446" s="38" t="s">
        <v>341</v>
      </c>
      <c r="B446" s="48" t="s">
        <v>614</v>
      </c>
      <c r="C446" s="53" t="s">
        <v>622</v>
      </c>
      <c r="D446" s="27" t="s">
        <v>41</v>
      </c>
      <c r="E446" s="68" t="s">
        <v>1641</v>
      </c>
      <c r="F446" s="68" t="s">
        <v>623</v>
      </c>
      <c r="G446" s="68"/>
    </row>
    <row r="447" spans="1:7" ht="57.6" x14ac:dyDescent="0.3">
      <c r="A447" s="38" t="s">
        <v>341</v>
      </c>
      <c r="B447" s="48" t="s">
        <v>614</v>
      </c>
      <c r="C447" s="53" t="s">
        <v>624</v>
      </c>
      <c r="D447" s="27" t="s">
        <v>45</v>
      </c>
      <c r="E447" s="68" t="s">
        <v>1642</v>
      </c>
      <c r="F447" s="68" t="s">
        <v>623</v>
      </c>
      <c r="G447" s="68"/>
    </row>
    <row r="448" spans="1:7" ht="43.2" x14ac:dyDescent="0.3">
      <c r="A448" s="38" t="s">
        <v>341</v>
      </c>
      <c r="B448" s="48" t="s">
        <v>614</v>
      </c>
      <c r="C448" s="53" t="s">
        <v>625</v>
      </c>
      <c r="D448" s="27" t="s">
        <v>1176</v>
      </c>
      <c r="E448" s="14" t="s">
        <v>1132</v>
      </c>
      <c r="F448" s="68" t="s">
        <v>616</v>
      </c>
      <c r="G448" s="68"/>
    </row>
    <row r="449" spans="1:7" ht="43.2" x14ac:dyDescent="0.3">
      <c r="A449" s="38" t="s">
        <v>341</v>
      </c>
      <c r="B449" s="48" t="s">
        <v>614</v>
      </c>
      <c r="C449" s="53" t="s">
        <v>626</v>
      </c>
      <c r="D449" s="27" t="s">
        <v>1176</v>
      </c>
      <c r="E449" s="14" t="s">
        <v>1133</v>
      </c>
      <c r="F449" s="68" t="s">
        <v>616</v>
      </c>
      <c r="G449" s="68"/>
    </row>
    <row r="450" spans="1:7" ht="57.6" x14ac:dyDescent="0.3">
      <c r="A450" s="38" t="s">
        <v>341</v>
      </c>
      <c r="B450" s="48" t="s">
        <v>614</v>
      </c>
      <c r="C450" s="53" t="s">
        <v>627</v>
      </c>
      <c r="D450" s="27" t="s">
        <v>41</v>
      </c>
      <c r="E450" s="68" t="s">
        <v>1643</v>
      </c>
      <c r="F450" s="68" t="s">
        <v>616</v>
      </c>
      <c r="G450" s="68"/>
    </row>
    <row r="451" spans="1:7" ht="86.4" x14ac:dyDescent="0.3">
      <c r="A451" s="38" t="s">
        <v>341</v>
      </c>
      <c r="B451" s="48" t="s">
        <v>614</v>
      </c>
      <c r="C451" s="53" t="s">
        <v>628</v>
      </c>
      <c r="D451" s="27" t="s">
        <v>45</v>
      </c>
      <c r="E451" s="68" t="s">
        <v>1644</v>
      </c>
      <c r="F451" s="68" t="s">
        <v>616</v>
      </c>
      <c r="G451" s="68"/>
    </row>
    <row r="452" spans="1:7" ht="72" x14ac:dyDescent="0.3">
      <c r="A452" s="38" t="s">
        <v>341</v>
      </c>
      <c r="B452" s="48" t="s">
        <v>614</v>
      </c>
      <c r="C452" s="53" t="s">
        <v>629</v>
      </c>
      <c r="D452" s="27" t="s">
        <v>1176</v>
      </c>
      <c r="E452" s="68" t="s">
        <v>1700</v>
      </c>
      <c r="F452" s="68" t="s">
        <v>616</v>
      </c>
      <c r="G452" s="68"/>
    </row>
    <row r="453" spans="1:7" ht="57.6" x14ac:dyDescent="0.3">
      <c r="A453" s="38" t="s">
        <v>341</v>
      </c>
      <c r="B453" s="48" t="s">
        <v>614</v>
      </c>
      <c r="C453" s="53" t="s">
        <v>630</v>
      </c>
      <c r="D453" s="27" t="s">
        <v>45</v>
      </c>
      <c r="E453" s="68" t="s">
        <v>1645</v>
      </c>
      <c r="F453" s="68" t="s">
        <v>616</v>
      </c>
      <c r="G453" s="68"/>
    </row>
    <row r="454" spans="1:7" ht="57.6" x14ac:dyDescent="0.3">
      <c r="A454" s="38" t="s">
        <v>341</v>
      </c>
      <c r="B454" s="48" t="s">
        <v>614</v>
      </c>
      <c r="C454" s="53" t="s">
        <v>631</v>
      </c>
      <c r="D454" s="27" t="s">
        <v>1176</v>
      </c>
      <c r="E454" s="68" t="s">
        <v>1646</v>
      </c>
      <c r="F454" s="68" t="s">
        <v>616</v>
      </c>
      <c r="G454" s="68"/>
    </row>
    <row r="455" spans="1:7" s="36" customFormat="1" ht="57.6" x14ac:dyDescent="0.3">
      <c r="A455" s="38" t="s">
        <v>341</v>
      </c>
      <c r="B455" s="48" t="s">
        <v>614</v>
      </c>
      <c r="C455" s="53" t="s">
        <v>632</v>
      </c>
      <c r="D455" s="27" t="s">
        <v>41</v>
      </c>
      <c r="E455" s="68" t="s">
        <v>1647</v>
      </c>
      <c r="F455" s="68" t="s">
        <v>616</v>
      </c>
      <c r="G455" s="68"/>
    </row>
    <row r="456" spans="1:7" s="36" customFormat="1" ht="72" x14ac:dyDescent="0.3">
      <c r="A456" s="38" t="s">
        <v>341</v>
      </c>
      <c r="B456" s="48" t="s">
        <v>614</v>
      </c>
      <c r="C456" s="53" t="s">
        <v>633</v>
      </c>
      <c r="D456" s="27" t="s">
        <v>45</v>
      </c>
      <c r="E456" s="68" t="s">
        <v>1648</v>
      </c>
      <c r="F456" s="68" t="s">
        <v>616</v>
      </c>
      <c r="G456" s="68"/>
    </row>
    <row r="457" spans="1:7" s="36" customFormat="1" ht="57.6" x14ac:dyDescent="0.3">
      <c r="A457" s="38" t="s">
        <v>341</v>
      </c>
      <c r="B457" s="48" t="s">
        <v>614</v>
      </c>
      <c r="C457" s="53" t="s">
        <v>634</v>
      </c>
      <c r="D457" s="26" t="s">
        <v>1176</v>
      </c>
      <c r="E457" s="68" t="s">
        <v>1649</v>
      </c>
      <c r="F457" s="68" t="s">
        <v>616</v>
      </c>
      <c r="G457" s="68"/>
    </row>
    <row r="458" spans="1:7" s="36" customFormat="1" ht="187.2" x14ac:dyDescent="0.3">
      <c r="A458" s="38" t="s">
        <v>341</v>
      </c>
      <c r="B458" s="48" t="s">
        <v>614</v>
      </c>
      <c r="C458" s="53" t="s">
        <v>635</v>
      </c>
      <c r="D458" s="27" t="s">
        <v>41</v>
      </c>
      <c r="E458" s="14" t="s">
        <v>636</v>
      </c>
      <c r="F458" s="68" t="s">
        <v>1300</v>
      </c>
      <c r="G458" s="68"/>
    </row>
    <row r="459" spans="1:7" s="36" customFormat="1" ht="81" customHeight="1" x14ac:dyDescent="0.3">
      <c r="A459" s="38" t="s">
        <v>341</v>
      </c>
      <c r="B459" s="48" t="s">
        <v>614</v>
      </c>
      <c r="C459" s="53" t="s">
        <v>637</v>
      </c>
      <c r="D459" s="27" t="s">
        <v>45</v>
      </c>
      <c r="E459" s="68" t="s">
        <v>1650</v>
      </c>
      <c r="F459" s="68" t="s">
        <v>1301</v>
      </c>
      <c r="G459" s="68"/>
    </row>
    <row r="460" spans="1:7" ht="73.95" customHeight="1" x14ac:dyDescent="0.3">
      <c r="A460" s="38" t="s">
        <v>341</v>
      </c>
      <c r="B460" s="48" t="s">
        <v>614</v>
      </c>
      <c r="C460" s="53" t="s">
        <v>638</v>
      </c>
      <c r="D460" s="27" t="s">
        <v>1176</v>
      </c>
      <c r="E460" s="68" t="s">
        <v>1651</v>
      </c>
      <c r="F460" s="68" t="s">
        <v>1301</v>
      </c>
      <c r="G460" s="68"/>
    </row>
    <row r="461" spans="1:7" ht="84.45" customHeight="1" x14ac:dyDescent="0.3">
      <c r="A461" s="38" t="s">
        <v>341</v>
      </c>
      <c r="B461" s="48" t="s">
        <v>614</v>
      </c>
      <c r="C461" s="53" t="s">
        <v>639</v>
      </c>
      <c r="D461" s="26" t="s">
        <v>45</v>
      </c>
      <c r="E461" s="68" t="s">
        <v>1652</v>
      </c>
      <c r="F461" s="68" t="s">
        <v>1301</v>
      </c>
      <c r="G461" s="68"/>
    </row>
    <row r="462" spans="1:7" ht="75.45" customHeight="1" x14ac:dyDescent="0.3">
      <c r="A462" s="38" t="s">
        <v>341</v>
      </c>
      <c r="B462" s="48" t="s">
        <v>614</v>
      </c>
      <c r="C462" s="53" t="s">
        <v>640</v>
      </c>
      <c r="D462" s="27" t="s">
        <v>1176</v>
      </c>
      <c r="E462" s="68" t="s">
        <v>1653</v>
      </c>
      <c r="F462" s="68" t="s">
        <v>1301</v>
      </c>
      <c r="G462" s="68"/>
    </row>
    <row r="463" spans="1:7" ht="115.2" customHeight="1" x14ac:dyDescent="0.3">
      <c r="A463" s="20" t="s">
        <v>341</v>
      </c>
      <c r="B463" s="48" t="s">
        <v>614</v>
      </c>
      <c r="C463" s="53" t="s">
        <v>641</v>
      </c>
      <c r="D463" s="27" t="s">
        <v>45</v>
      </c>
      <c r="E463" s="68" t="s">
        <v>1654</v>
      </c>
      <c r="F463" s="68" t="s">
        <v>1302</v>
      </c>
      <c r="G463" s="68"/>
    </row>
    <row r="464" spans="1:7" ht="111" customHeight="1" x14ac:dyDescent="0.3">
      <c r="A464" s="40" t="s">
        <v>341</v>
      </c>
      <c r="B464" s="46" t="s">
        <v>614</v>
      </c>
      <c r="C464" s="56" t="s">
        <v>642</v>
      </c>
      <c r="D464" s="26" t="s">
        <v>1176</v>
      </c>
      <c r="E464" s="106" t="s">
        <v>1655</v>
      </c>
      <c r="F464" s="106" t="s">
        <v>1302</v>
      </c>
      <c r="G464" s="106"/>
    </row>
    <row r="465" spans="1:7" ht="57.6" x14ac:dyDescent="0.3">
      <c r="A465" s="40" t="s">
        <v>341</v>
      </c>
      <c r="B465" s="46" t="s">
        <v>614</v>
      </c>
      <c r="C465" s="56" t="s">
        <v>643</v>
      </c>
      <c r="D465" s="27" t="s">
        <v>45</v>
      </c>
      <c r="E465" s="68" t="s">
        <v>1656</v>
      </c>
      <c r="F465" s="68" t="s">
        <v>623</v>
      </c>
      <c r="G465" s="68"/>
    </row>
    <row r="466" spans="1:7" ht="43.2" x14ac:dyDescent="0.3">
      <c r="A466" s="40" t="s">
        <v>341</v>
      </c>
      <c r="B466" s="46" t="s">
        <v>614</v>
      </c>
      <c r="C466" s="56" t="s">
        <v>644</v>
      </c>
      <c r="D466" s="27" t="s">
        <v>1176</v>
      </c>
      <c r="E466" s="68" t="s">
        <v>1657</v>
      </c>
      <c r="F466" s="68" t="s">
        <v>623</v>
      </c>
      <c r="G466" s="68"/>
    </row>
    <row r="467" spans="1:7" ht="57.6" x14ac:dyDescent="0.3">
      <c r="A467" s="59" t="s">
        <v>341</v>
      </c>
      <c r="B467" s="46" t="s">
        <v>614</v>
      </c>
      <c r="C467" s="56" t="s">
        <v>645</v>
      </c>
      <c r="D467" s="27" t="s">
        <v>45</v>
      </c>
      <c r="E467" s="87" t="s">
        <v>1658</v>
      </c>
      <c r="F467" s="68" t="s">
        <v>616</v>
      </c>
      <c r="G467" s="87"/>
    </row>
    <row r="468" spans="1:7" ht="57.6" x14ac:dyDescent="0.3">
      <c r="A468" s="59" t="s">
        <v>341</v>
      </c>
      <c r="B468" s="46" t="s">
        <v>614</v>
      </c>
      <c r="C468" s="56" t="s">
        <v>646</v>
      </c>
      <c r="D468" s="27" t="s">
        <v>1176</v>
      </c>
      <c r="E468" s="87" t="s">
        <v>1659</v>
      </c>
      <c r="F468" s="68" t="s">
        <v>616</v>
      </c>
      <c r="G468" s="87"/>
    </row>
    <row r="469" spans="1:7" ht="86.4" x14ac:dyDescent="0.3">
      <c r="A469" s="48" t="s">
        <v>341</v>
      </c>
      <c r="B469" s="48" t="s">
        <v>614</v>
      </c>
      <c r="C469" s="53" t="s">
        <v>647</v>
      </c>
      <c r="D469" s="27" t="s">
        <v>1176</v>
      </c>
      <c r="E469" s="87" t="s">
        <v>1660</v>
      </c>
      <c r="F469" s="68" t="s">
        <v>616</v>
      </c>
      <c r="G469" s="87"/>
    </row>
    <row r="470" spans="1:7" ht="57.6" x14ac:dyDescent="0.3">
      <c r="A470" s="40" t="s">
        <v>341</v>
      </c>
      <c r="B470" s="46" t="s">
        <v>614</v>
      </c>
      <c r="C470" s="56" t="s">
        <v>648</v>
      </c>
      <c r="D470" s="26" t="s">
        <v>45</v>
      </c>
      <c r="E470" s="106" t="s">
        <v>1661</v>
      </c>
      <c r="F470" s="106" t="s">
        <v>616</v>
      </c>
      <c r="G470" s="106"/>
    </row>
    <row r="471" spans="1:7" ht="43.2" x14ac:dyDescent="0.3">
      <c r="A471" s="38" t="s">
        <v>341</v>
      </c>
      <c r="B471" s="46" t="s">
        <v>614</v>
      </c>
      <c r="C471" s="56" t="s">
        <v>649</v>
      </c>
      <c r="D471" s="27" t="s">
        <v>1176</v>
      </c>
      <c r="E471" s="68" t="s">
        <v>1662</v>
      </c>
      <c r="F471" s="68" t="s">
        <v>616</v>
      </c>
      <c r="G471" s="68"/>
    </row>
    <row r="472" spans="1:7" ht="72" x14ac:dyDescent="0.3">
      <c r="A472" s="38" t="s">
        <v>341</v>
      </c>
      <c r="B472" s="46" t="s">
        <v>614</v>
      </c>
      <c r="C472" s="56" t="s">
        <v>650</v>
      </c>
      <c r="D472" s="27" t="s">
        <v>45</v>
      </c>
      <c r="E472" s="68" t="s">
        <v>1663</v>
      </c>
      <c r="F472" s="68" t="s">
        <v>616</v>
      </c>
      <c r="G472" s="68"/>
    </row>
    <row r="473" spans="1:7" ht="57.6" x14ac:dyDescent="0.3">
      <c r="A473" s="38" t="s">
        <v>341</v>
      </c>
      <c r="B473" s="46" t="s">
        <v>614</v>
      </c>
      <c r="C473" s="56" t="s">
        <v>651</v>
      </c>
      <c r="D473" s="27" t="s">
        <v>1176</v>
      </c>
      <c r="E473" s="68" t="s">
        <v>1664</v>
      </c>
      <c r="F473" s="68" t="s">
        <v>616</v>
      </c>
      <c r="G473" s="68"/>
    </row>
    <row r="474" spans="1:7" ht="57.6" x14ac:dyDescent="0.3">
      <c r="A474" s="38" t="s">
        <v>341</v>
      </c>
      <c r="B474" s="46" t="s">
        <v>614</v>
      </c>
      <c r="C474" s="56" t="s">
        <v>652</v>
      </c>
      <c r="D474" s="27" t="s">
        <v>41</v>
      </c>
      <c r="E474" s="68" t="s">
        <v>1665</v>
      </c>
      <c r="F474" s="68" t="s">
        <v>616</v>
      </c>
      <c r="G474" s="68"/>
    </row>
    <row r="475" spans="1:7" ht="57.6" x14ac:dyDescent="0.3">
      <c r="A475" s="38" t="s">
        <v>341</v>
      </c>
      <c r="B475" s="46" t="s">
        <v>614</v>
      </c>
      <c r="C475" s="56" t="s">
        <v>653</v>
      </c>
      <c r="D475" s="27" t="s">
        <v>45</v>
      </c>
      <c r="E475" s="68" t="s">
        <v>1666</v>
      </c>
      <c r="F475" s="68" t="s">
        <v>616</v>
      </c>
      <c r="G475" s="68"/>
    </row>
    <row r="476" spans="1:7" ht="57.6" x14ac:dyDescent="0.3">
      <c r="A476" s="38" t="s">
        <v>341</v>
      </c>
      <c r="B476" s="46" t="s">
        <v>614</v>
      </c>
      <c r="C476" s="56" t="s">
        <v>654</v>
      </c>
      <c r="D476" s="27" t="s">
        <v>1176</v>
      </c>
      <c r="E476" s="68" t="s">
        <v>1667</v>
      </c>
      <c r="F476" s="68" t="s">
        <v>616</v>
      </c>
      <c r="G476" s="68"/>
    </row>
    <row r="477" spans="1:7" ht="43.2" x14ac:dyDescent="0.3">
      <c r="A477" s="38" t="s">
        <v>341</v>
      </c>
      <c r="B477" s="46" t="s">
        <v>614</v>
      </c>
      <c r="C477" s="56" t="s">
        <v>655</v>
      </c>
      <c r="D477" s="27" t="s">
        <v>45</v>
      </c>
      <c r="E477" s="68" t="s">
        <v>1668</v>
      </c>
      <c r="F477" s="68" t="s">
        <v>616</v>
      </c>
      <c r="G477" s="68" t="s">
        <v>51</v>
      </c>
    </row>
    <row r="478" spans="1:7" s="36" customFormat="1" ht="43.2" x14ac:dyDescent="0.3">
      <c r="A478" s="38" t="s">
        <v>341</v>
      </c>
      <c r="B478" s="46" t="s">
        <v>614</v>
      </c>
      <c r="C478" s="56" t="s">
        <v>656</v>
      </c>
      <c r="D478" s="27" t="s">
        <v>1176</v>
      </c>
      <c r="E478" s="68" t="s">
        <v>1669</v>
      </c>
      <c r="F478" s="68" t="s">
        <v>616</v>
      </c>
      <c r="G478" s="68" t="s">
        <v>51</v>
      </c>
    </row>
    <row r="479" spans="1:7" s="36" customFormat="1" ht="43.2" x14ac:dyDescent="0.3">
      <c r="A479" s="38" t="s">
        <v>341</v>
      </c>
      <c r="B479" s="46" t="s">
        <v>614</v>
      </c>
      <c r="C479" s="56" t="s">
        <v>657</v>
      </c>
      <c r="D479" s="27" t="s">
        <v>45</v>
      </c>
      <c r="E479" s="14" t="s">
        <v>658</v>
      </c>
      <c r="F479" s="68" t="s">
        <v>616</v>
      </c>
      <c r="G479" s="68"/>
    </row>
    <row r="480" spans="1:7" s="36" customFormat="1" ht="43.2" x14ac:dyDescent="0.3">
      <c r="A480" s="38" t="s">
        <v>341</v>
      </c>
      <c r="B480" s="46" t="s">
        <v>614</v>
      </c>
      <c r="C480" s="56" t="s">
        <v>659</v>
      </c>
      <c r="D480" s="27" t="s">
        <v>1176</v>
      </c>
      <c r="E480" s="14" t="s">
        <v>660</v>
      </c>
      <c r="F480" s="68" t="s">
        <v>616</v>
      </c>
      <c r="G480" s="68"/>
    </row>
    <row r="481" spans="1:7" s="36" customFormat="1" ht="43.2" x14ac:dyDescent="0.3">
      <c r="A481" s="38" t="s">
        <v>341</v>
      </c>
      <c r="B481" s="46" t="s">
        <v>614</v>
      </c>
      <c r="C481" s="56" t="s">
        <v>661</v>
      </c>
      <c r="D481" s="27" t="s">
        <v>45</v>
      </c>
      <c r="E481" s="68" t="s">
        <v>1670</v>
      </c>
      <c r="F481" s="68" t="s">
        <v>662</v>
      </c>
      <c r="G481" s="68"/>
    </row>
    <row r="482" spans="1:7" s="36" customFormat="1" ht="43.2" x14ac:dyDescent="0.3">
      <c r="A482" s="38" t="s">
        <v>341</v>
      </c>
      <c r="B482" s="46" t="s">
        <v>614</v>
      </c>
      <c r="C482" s="56" t="s">
        <v>663</v>
      </c>
      <c r="D482" s="27" t="s">
        <v>1176</v>
      </c>
      <c r="E482" s="68" t="s">
        <v>1671</v>
      </c>
      <c r="F482" s="68" t="s">
        <v>662</v>
      </c>
      <c r="G482" s="68"/>
    </row>
    <row r="483" spans="1:7" s="36" customFormat="1" ht="43.2" x14ac:dyDescent="0.3">
      <c r="A483" s="38" t="s">
        <v>341</v>
      </c>
      <c r="B483" s="46" t="s">
        <v>614</v>
      </c>
      <c r="C483" s="56" t="s">
        <v>664</v>
      </c>
      <c r="D483" s="27" t="s">
        <v>1176</v>
      </c>
      <c r="E483" s="14" t="s">
        <v>665</v>
      </c>
      <c r="F483" s="68" t="s">
        <v>616</v>
      </c>
      <c r="G483" s="68"/>
    </row>
    <row r="484" spans="1:7" s="36" customFormat="1" ht="57.6" x14ac:dyDescent="0.3">
      <c r="A484" s="38" t="s">
        <v>341</v>
      </c>
      <c r="B484" s="46" t="s">
        <v>614</v>
      </c>
      <c r="C484" s="56" t="s">
        <v>666</v>
      </c>
      <c r="D484" s="27" t="s">
        <v>45</v>
      </c>
      <c r="E484" s="68" t="s">
        <v>1672</v>
      </c>
      <c r="F484" s="68" t="s">
        <v>616</v>
      </c>
      <c r="G484" s="68"/>
    </row>
    <row r="485" spans="1:7" ht="57.6" x14ac:dyDescent="0.3">
      <c r="A485" s="38" t="s">
        <v>341</v>
      </c>
      <c r="B485" s="46" t="s">
        <v>614</v>
      </c>
      <c r="C485" s="56" t="s">
        <v>667</v>
      </c>
      <c r="D485" s="27" t="s">
        <v>1176</v>
      </c>
      <c r="E485" s="68" t="s">
        <v>1673</v>
      </c>
      <c r="F485" s="68" t="s">
        <v>616</v>
      </c>
      <c r="G485" s="68"/>
    </row>
    <row r="486" spans="1:7" ht="57.6" x14ac:dyDescent="0.3">
      <c r="A486" s="38" t="s">
        <v>341</v>
      </c>
      <c r="B486" s="46" t="s">
        <v>614</v>
      </c>
      <c r="C486" s="56" t="s">
        <v>668</v>
      </c>
      <c r="D486" s="27" t="s">
        <v>1176</v>
      </c>
      <c r="E486" s="68" t="s">
        <v>1674</v>
      </c>
      <c r="F486" s="68" t="s">
        <v>616</v>
      </c>
      <c r="G486" s="68"/>
    </row>
    <row r="487" spans="1:7" ht="43.2" x14ac:dyDescent="0.3">
      <c r="A487" s="38" t="s">
        <v>341</v>
      </c>
      <c r="B487" s="46" t="s">
        <v>614</v>
      </c>
      <c r="C487" s="56" t="s">
        <v>1174</v>
      </c>
      <c r="D487" s="27" t="s">
        <v>45</v>
      </c>
      <c r="E487" s="68" t="s">
        <v>1675</v>
      </c>
      <c r="F487" s="68" t="s">
        <v>669</v>
      </c>
      <c r="G487" s="68"/>
    </row>
    <row r="488" spans="1:7" ht="43.8" thickBot="1" x14ac:dyDescent="0.35">
      <c r="A488" s="63" t="s">
        <v>341</v>
      </c>
      <c r="B488" s="79" t="s">
        <v>614</v>
      </c>
      <c r="C488" s="80" t="s">
        <v>670</v>
      </c>
      <c r="D488" s="66" t="s">
        <v>1176</v>
      </c>
      <c r="E488" s="107" t="s">
        <v>1676</v>
      </c>
      <c r="F488" s="107" t="s">
        <v>671</v>
      </c>
      <c r="G488" s="107"/>
    </row>
    <row r="489" spans="1:7" ht="52.2" customHeight="1" x14ac:dyDescent="0.3">
      <c r="A489" s="40" t="s">
        <v>672</v>
      </c>
      <c r="B489" s="16" t="s">
        <v>673</v>
      </c>
      <c r="C489" s="52" t="s">
        <v>674</v>
      </c>
      <c r="D489" s="26" t="s">
        <v>45</v>
      </c>
      <c r="E489" s="11" t="s">
        <v>675</v>
      </c>
      <c r="F489" s="106" t="s">
        <v>1303</v>
      </c>
      <c r="G489" s="106"/>
    </row>
    <row r="490" spans="1:7" ht="58.5" customHeight="1" x14ac:dyDescent="0.3">
      <c r="A490" s="38" t="s">
        <v>672</v>
      </c>
      <c r="B490" s="16" t="s">
        <v>673</v>
      </c>
      <c r="C490" s="52" t="s">
        <v>676</v>
      </c>
      <c r="D490" s="27" t="s">
        <v>1176</v>
      </c>
      <c r="E490" s="14" t="s">
        <v>677</v>
      </c>
      <c r="F490" s="68" t="s">
        <v>1303</v>
      </c>
      <c r="G490" s="68"/>
    </row>
    <row r="491" spans="1:7" ht="52.95" customHeight="1" x14ac:dyDescent="0.3">
      <c r="A491" s="38" t="s">
        <v>672</v>
      </c>
      <c r="B491" s="16" t="s">
        <v>673</v>
      </c>
      <c r="C491" s="52" t="s">
        <v>678</v>
      </c>
      <c r="D491" s="27" t="s">
        <v>45</v>
      </c>
      <c r="E491" s="14" t="s">
        <v>679</v>
      </c>
      <c r="F491" s="68" t="s">
        <v>1303</v>
      </c>
      <c r="G491" s="68"/>
    </row>
    <row r="492" spans="1:7" ht="66.75" customHeight="1" x14ac:dyDescent="0.3">
      <c r="A492" s="38" t="s">
        <v>672</v>
      </c>
      <c r="B492" s="16" t="s">
        <v>673</v>
      </c>
      <c r="C492" s="52" t="s">
        <v>680</v>
      </c>
      <c r="D492" s="27" t="s">
        <v>1176</v>
      </c>
      <c r="E492" s="14" t="s">
        <v>681</v>
      </c>
      <c r="F492" s="68" t="s">
        <v>1303</v>
      </c>
      <c r="G492" s="68"/>
    </row>
    <row r="493" spans="1:7" ht="51" customHeight="1" x14ac:dyDescent="0.3">
      <c r="A493" s="38" t="s">
        <v>672</v>
      </c>
      <c r="B493" s="16" t="s">
        <v>673</v>
      </c>
      <c r="C493" s="52" t="s">
        <v>682</v>
      </c>
      <c r="D493" s="27" t="s">
        <v>1176</v>
      </c>
      <c r="E493" s="68" t="s">
        <v>1701</v>
      </c>
      <c r="F493" s="68" t="s">
        <v>1303</v>
      </c>
      <c r="G493" s="68"/>
    </row>
    <row r="494" spans="1:7" ht="72" x14ac:dyDescent="0.3">
      <c r="A494" s="38" t="s">
        <v>672</v>
      </c>
      <c r="B494" s="16" t="s">
        <v>673</v>
      </c>
      <c r="C494" s="52" t="s">
        <v>683</v>
      </c>
      <c r="D494" s="27" t="s">
        <v>45</v>
      </c>
      <c r="E494" s="14" t="s">
        <v>684</v>
      </c>
      <c r="F494" s="14" t="s">
        <v>685</v>
      </c>
      <c r="G494" s="68"/>
    </row>
    <row r="495" spans="1:7" ht="57.6" x14ac:dyDescent="0.3">
      <c r="A495" s="38" t="s">
        <v>672</v>
      </c>
      <c r="B495" s="16" t="s">
        <v>673</v>
      </c>
      <c r="C495" s="52" t="s">
        <v>686</v>
      </c>
      <c r="D495" s="27" t="s">
        <v>1176</v>
      </c>
      <c r="E495" s="14" t="s">
        <v>687</v>
      </c>
      <c r="F495" s="14" t="s">
        <v>685</v>
      </c>
      <c r="G495" s="68"/>
    </row>
    <row r="496" spans="1:7" ht="72" x14ac:dyDescent="0.3">
      <c r="A496" s="38" t="s">
        <v>672</v>
      </c>
      <c r="B496" s="16" t="s">
        <v>673</v>
      </c>
      <c r="C496" s="52" t="s">
        <v>688</v>
      </c>
      <c r="D496" s="27" t="s">
        <v>45</v>
      </c>
      <c r="E496" s="68" t="s">
        <v>1702</v>
      </c>
      <c r="F496" s="68" t="s">
        <v>1304</v>
      </c>
      <c r="G496" s="68"/>
    </row>
    <row r="497" spans="1:7" ht="72" x14ac:dyDescent="0.3">
      <c r="A497" s="38" t="s">
        <v>672</v>
      </c>
      <c r="B497" s="16" t="s">
        <v>673</v>
      </c>
      <c r="C497" s="52" t="s">
        <v>689</v>
      </c>
      <c r="D497" s="27" t="s">
        <v>1176</v>
      </c>
      <c r="E497" s="14" t="s">
        <v>690</v>
      </c>
      <c r="F497" s="68" t="s">
        <v>1304</v>
      </c>
      <c r="G497" s="68"/>
    </row>
    <row r="498" spans="1:7" ht="57.6" x14ac:dyDescent="0.3">
      <c r="A498" s="38" t="s">
        <v>672</v>
      </c>
      <c r="B498" s="16" t="s">
        <v>673</v>
      </c>
      <c r="C498" s="52" t="s">
        <v>691</v>
      </c>
      <c r="D498" s="27" t="s">
        <v>45</v>
      </c>
      <c r="E498" s="14" t="s">
        <v>692</v>
      </c>
      <c r="F498" s="68" t="s">
        <v>1304</v>
      </c>
      <c r="G498" s="68"/>
    </row>
    <row r="499" spans="1:7" ht="43.2" x14ac:dyDescent="0.3">
      <c r="A499" s="38" t="s">
        <v>672</v>
      </c>
      <c r="B499" s="16" t="s">
        <v>673</v>
      </c>
      <c r="C499" s="52" t="s">
        <v>693</v>
      </c>
      <c r="D499" s="27" t="s">
        <v>1176</v>
      </c>
      <c r="E499" s="14" t="s">
        <v>694</v>
      </c>
      <c r="F499" s="68" t="s">
        <v>1304</v>
      </c>
      <c r="G499" s="68"/>
    </row>
    <row r="500" spans="1:7" ht="57.6" x14ac:dyDescent="0.3">
      <c r="A500" s="38" t="s">
        <v>672</v>
      </c>
      <c r="B500" s="16" t="s">
        <v>673</v>
      </c>
      <c r="C500" s="52" t="s">
        <v>695</v>
      </c>
      <c r="D500" s="27" t="s">
        <v>45</v>
      </c>
      <c r="E500" s="14" t="s">
        <v>696</v>
      </c>
      <c r="F500" s="68" t="s">
        <v>1304</v>
      </c>
      <c r="G500" s="68"/>
    </row>
    <row r="501" spans="1:7" ht="43.2" x14ac:dyDescent="0.3">
      <c r="A501" s="38" t="s">
        <v>672</v>
      </c>
      <c r="B501" s="16" t="s">
        <v>673</v>
      </c>
      <c r="C501" s="52" t="s">
        <v>697</v>
      </c>
      <c r="D501" s="27" t="s">
        <v>1176</v>
      </c>
      <c r="E501" s="14" t="s">
        <v>698</v>
      </c>
      <c r="F501" s="68" t="s">
        <v>1304</v>
      </c>
      <c r="G501" s="68"/>
    </row>
    <row r="502" spans="1:7" ht="57.6" x14ac:dyDescent="0.3">
      <c r="A502" s="38" t="s">
        <v>672</v>
      </c>
      <c r="B502" s="16" t="s">
        <v>673</v>
      </c>
      <c r="C502" s="52" t="s">
        <v>699</v>
      </c>
      <c r="D502" s="27" t="s">
        <v>45</v>
      </c>
      <c r="E502" s="14" t="s">
        <v>700</v>
      </c>
      <c r="F502" s="14" t="s">
        <v>71</v>
      </c>
      <c r="G502" s="68"/>
    </row>
    <row r="503" spans="1:7" ht="57.6" x14ac:dyDescent="0.3">
      <c r="A503" s="38" t="s">
        <v>672</v>
      </c>
      <c r="B503" s="16" t="s">
        <v>673</v>
      </c>
      <c r="C503" s="52" t="s">
        <v>701</v>
      </c>
      <c r="D503" s="27" t="s">
        <v>1176</v>
      </c>
      <c r="E503" s="14" t="s">
        <v>702</v>
      </c>
      <c r="F503" s="14" t="s">
        <v>71</v>
      </c>
      <c r="G503" s="68"/>
    </row>
    <row r="504" spans="1:7" ht="72" x14ac:dyDescent="0.3">
      <c r="A504" s="38" t="s">
        <v>672</v>
      </c>
      <c r="B504" s="16" t="s">
        <v>673</v>
      </c>
      <c r="C504" s="52" t="s">
        <v>703</v>
      </c>
      <c r="D504" s="27" t="s">
        <v>45</v>
      </c>
      <c r="E504" s="68" t="s">
        <v>1677</v>
      </c>
      <c r="F504" s="14" t="s">
        <v>704</v>
      </c>
      <c r="G504" s="68"/>
    </row>
    <row r="505" spans="1:7" ht="57.6" x14ac:dyDescent="0.3">
      <c r="A505" s="38" t="s">
        <v>672</v>
      </c>
      <c r="B505" s="16" t="s">
        <v>673</v>
      </c>
      <c r="C505" s="52" t="s">
        <v>705</v>
      </c>
      <c r="D505" s="27" t="s">
        <v>1176</v>
      </c>
      <c r="E505" s="68" t="s">
        <v>1678</v>
      </c>
      <c r="F505" s="14" t="s">
        <v>704</v>
      </c>
      <c r="G505" s="68"/>
    </row>
    <row r="506" spans="1:7" ht="43.2" x14ac:dyDescent="0.3">
      <c r="A506" s="38" t="s">
        <v>672</v>
      </c>
      <c r="B506" s="16" t="s">
        <v>673</v>
      </c>
      <c r="C506" s="52" t="s">
        <v>706</v>
      </c>
      <c r="D506" s="27" t="s">
        <v>45</v>
      </c>
      <c r="E506" s="14" t="s">
        <v>707</v>
      </c>
      <c r="F506" s="14" t="s">
        <v>708</v>
      </c>
      <c r="G506" s="68"/>
    </row>
    <row r="507" spans="1:7" ht="43.2" x14ac:dyDescent="0.3">
      <c r="A507" s="38" t="s">
        <v>672</v>
      </c>
      <c r="B507" s="16" t="s">
        <v>673</v>
      </c>
      <c r="C507" s="52" t="s">
        <v>709</v>
      </c>
      <c r="D507" s="27" t="s">
        <v>1176</v>
      </c>
      <c r="E507" s="14" t="s">
        <v>710</v>
      </c>
      <c r="F507" s="14" t="s">
        <v>708</v>
      </c>
      <c r="G507" s="68"/>
    </row>
    <row r="508" spans="1:7" ht="57.6" x14ac:dyDescent="0.3">
      <c r="A508" s="38" t="s">
        <v>672</v>
      </c>
      <c r="B508" s="16" t="s">
        <v>673</v>
      </c>
      <c r="C508" s="52" t="s">
        <v>711</v>
      </c>
      <c r="D508" s="27" t="s">
        <v>45</v>
      </c>
      <c r="E508" s="14" t="s">
        <v>712</v>
      </c>
      <c r="F508" s="14" t="s">
        <v>713</v>
      </c>
      <c r="G508" s="68"/>
    </row>
    <row r="509" spans="1:7" ht="57.6" x14ac:dyDescent="0.3">
      <c r="A509" s="38" t="s">
        <v>672</v>
      </c>
      <c r="B509" s="16" t="s">
        <v>673</v>
      </c>
      <c r="C509" s="49" t="s">
        <v>714</v>
      </c>
      <c r="D509" s="27" t="s">
        <v>1176</v>
      </c>
      <c r="E509" s="14" t="s">
        <v>715</v>
      </c>
      <c r="F509" s="14" t="s">
        <v>713</v>
      </c>
      <c r="G509" s="68"/>
    </row>
    <row r="510" spans="1:7" ht="57.6" x14ac:dyDescent="0.3">
      <c r="A510" s="38" t="s">
        <v>672</v>
      </c>
      <c r="B510" s="16" t="s">
        <v>673</v>
      </c>
      <c r="C510" s="49" t="s">
        <v>716</v>
      </c>
      <c r="D510" s="27" t="s">
        <v>41</v>
      </c>
      <c r="E510" s="14" t="s">
        <v>717</v>
      </c>
      <c r="F510" s="68" t="s">
        <v>1304</v>
      </c>
      <c r="G510" s="68"/>
    </row>
    <row r="511" spans="1:7" ht="43.2" x14ac:dyDescent="0.3">
      <c r="A511" s="38" t="s">
        <v>672</v>
      </c>
      <c r="B511" s="16" t="s">
        <v>673</v>
      </c>
      <c r="C511" s="52" t="s">
        <v>718</v>
      </c>
      <c r="D511" s="27" t="s">
        <v>45</v>
      </c>
      <c r="E511" s="14" t="s">
        <v>719</v>
      </c>
      <c r="F511" s="14" t="s">
        <v>71</v>
      </c>
      <c r="G511" s="68"/>
    </row>
    <row r="512" spans="1:7" ht="43.2" x14ac:dyDescent="0.3">
      <c r="A512" s="38" t="s">
        <v>672</v>
      </c>
      <c r="B512" s="16" t="s">
        <v>673</v>
      </c>
      <c r="C512" s="49" t="s">
        <v>720</v>
      </c>
      <c r="D512" s="27" t="s">
        <v>1176</v>
      </c>
      <c r="E512" s="14" t="s">
        <v>721</v>
      </c>
      <c r="F512" s="14" t="s">
        <v>71</v>
      </c>
      <c r="G512" s="68"/>
    </row>
    <row r="513" spans="1:7" ht="43.2" x14ac:dyDescent="0.3">
      <c r="A513" s="38" t="s">
        <v>672</v>
      </c>
      <c r="B513" s="16" t="s">
        <v>673</v>
      </c>
      <c r="C513" s="49" t="s">
        <v>722</v>
      </c>
      <c r="D513" s="27" t="s">
        <v>45</v>
      </c>
      <c r="E513" s="14" t="s">
        <v>723</v>
      </c>
      <c r="F513" s="14" t="s">
        <v>704</v>
      </c>
      <c r="G513" s="68"/>
    </row>
    <row r="514" spans="1:7" ht="43.2" x14ac:dyDescent="0.3">
      <c r="A514" s="38" t="s">
        <v>672</v>
      </c>
      <c r="B514" s="16" t="s">
        <v>673</v>
      </c>
      <c r="C514" s="49" t="s">
        <v>724</v>
      </c>
      <c r="D514" s="27" t="s">
        <v>1176</v>
      </c>
      <c r="E514" s="14" t="s">
        <v>725</v>
      </c>
      <c r="F514" s="14" t="s">
        <v>704</v>
      </c>
      <c r="G514" s="68"/>
    </row>
    <row r="515" spans="1:7" ht="72" x14ac:dyDescent="0.3">
      <c r="A515" s="38" t="s">
        <v>672</v>
      </c>
      <c r="B515" s="16" t="s">
        <v>673</v>
      </c>
      <c r="C515" s="49" t="s">
        <v>726</v>
      </c>
      <c r="D515" s="27" t="s">
        <v>45</v>
      </c>
      <c r="E515" s="68" t="s">
        <v>1679</v>
      </c>
      <c r="F515" s="14" t="s">
        <v>727</v>
      </c>
      <c r="G515" s="68"/>
    </row>
    <row r="516" spans="1:7" ht="43.8" thickBot="1" x14ac:dyDescent="0.35">
      <c r="A516" s="63" t="s">
        <v>672</v>
      </c>
      <c r="B516" s="64" t="s">
        <v>673</v>
      </c>
      <c r="C516" s="75" t="s">
        <v>728</v>
      </c>
      <c r="D516" s="66" t="s">
        <v>1176</v>
      </c>
      <c r="E516" s="67" t="s">
        <v>729</v>
      </c>
      <c r="F516" s="67" t="s">
        <v>727</v>
      </c>
      <c r="G516" s="107"/>
    </row>
    <row r="517" spans="1:7" ht="28.8" x14ac:dyDescent="0.3">
      <c r="A517" s="40" t="s">
        <v>672</v>
      </c>
      <c r="B517" s="16" t="s">
        <v>730</v>
      </c>
      <c r="C517" s="52" t="s">
        <v>731</v>
      </c>
      <c r="D517" s="26" t="s">
        <v>45</v>
      </c>
      <c r="E517" s="106" t="s">
        <v>1680</v>
      </c>
      <c r="F517" s="11" t="s">
        <v>71</v>
      </c>
      <c r="G517" s="106"/>
    </row>
    <row r="518" spans="1:7" ht="43.2" x14ac:dyDescent="0.3">
      <c r="A518" s="38" t="s">
        <v>672</v>
      </c>
      <c r="B518" s="16" t="s">
        <v>730</v>
      </c>
      <c r="C518" s="52" t="s">
        <v>732</v>
      </c>
      <c r="D518" s="27" t="s">
        <v>1176</v>
      </c>
      <c r="E518" s="68" t="s">
        <v>1681</v>
      </c>
      <c r="F518" s="14" t="s">
        <v>71</v>
      </c>
      <c r="G518" s="68"/>
    </row>
    <row r="519" spans="1:7" ht="57.6" x14ac:dyDescent="0.3">
      <c r="A519" s="38" t="s">
        <v>672</v>
      </c>
      <c r="B519" s="16" t="s">
        <v>730</v>
      </c>
      <c r="C519" s="52" t="s">
        <v>733</v>
      </c>
      <c r="D519" s="27" t="s">
        <v>45</v>
      </c>
      <c r="E519" s="14" t="s">
        <v>734</v>
      </c>
      <c r="F519" s="14" t="s">
        <v>71</v>
      </c>
      <c r="G519" s="68"/>
    </row>
    <row r="520" spans="1:7" ht="28.8" x14ac:dyDescent="0.3">
      <c r="A520" s="38" t="s">
        <v>672</v>
      </c>
      <c r="B520" s="16" t="s">
        <v>730</v>
      </c>
      <c r="C520" s="52" t="s">
        <v>735</v>
      </c>
      <c r="D520" s="27" t="s">
        <v>1176</v>
      </c>
      <c r="E520" s="14" t="s">
        <v>736</v>
      </c>
      <c r="F520" s="14" t="s">
        <v>71</v>
      </c>
      <c r="G520" s="68"/>
    </row>
    <row r="521" spans="1:7" ht="72" x14ac:dyDescent="0.3">
      <c r="A521" s="38" t="s">
        <v>672</v>
      </c>
      <c r="B521" s="16" t="s">
        <v>730</v>
      </c>
      <c r="C521" s="52" t="s">
        <v>737</v>
      </c>
      <c r="D521" s="27" t="s">
        <v>41</v>
      </c>
      <c r="E521" s="68" t="s">
        <v>1682</v>
      </c>
      <c r="F521" s="14" t="s">
        <v>71</v>
      </c>
      <c r="G521" s="68"/>
    </row>
    <row r="522" spans="1:7" ht="43.2" x14ac:dyDescent="0.3">
      <c r="A522" s="38" t="s">
        <v>672</v>
      </c>
      <c r="B522" s="16" t="s">
        <v>730</v>
      </c>
      <c r="C522" s="52" t="s">
        <v>738</v>
      </c>
      <c r="D522" s="27" t="s">
        <v>45</v>
      </c>
      <c r="E522" s="14" t="s">
        <v>739</v>
      </c>
      <c r="F522" s="14" t="s">
        <v>71</v>
      </c>
      <c r="G522" s="68"/>
    </row>
    <row r="523" spans="1:7" ht="43.2" x14ac:dyDescent="0.3">
      <c r="A523" s="38" t="s">
        <v>672</v>
      </c>
      <c r="B523" s="16" t="s">
        <v>730</v>
      </c>
      <c r="C523" s="52" t="s">
        <v>740</v>
      </c>
      <c r="D523" s="27" t="s">
        <v>1176</v>
      </c>
      <c r="E523" s="14" t="s">
        <v>741</v>
      </c>
      <c r="F523" s="14" t="s">
        <v>71</v>
      </c>
      <c r="G523" s="68"/>
    </row>
    <row r="524" spans="1:7" ht="57.6" x14ac:dyDescent="0.3">
      <c r="A524" s="38" t="s">
        <v>672</v>
      </c>
      <c r="B524" s="16" t="s">
        <v>730</v>
      </c>
      <c r="C524" s="52" t="s">
        <v>742</v>
      </c>
      <c r="D524" s="27" t="s">
        <v>45</v>
      </c>
      <c r="E524" s="68" t="s">
        <v>1683</v>
      </c>
      <c r="F524" s="14" t="s">
        <v>71</v>
      </c>
      <c r="G524" s="68"/>
    </row>
    <row r="525" spans="1:7" ht="28.8" x14ac:dyDescent="0.3">
      <c r="A525" s="38" t="s">
        <v>672</v>
      </c>
      <c r="B525" s="16" t="s">
        <v>730</v>
      </c>
      <c r="C525" s="52" t="s">
        <v>743</v>
      </c>
      <c r="D525" s="27" t="s">
        <v>1176</v>
      </c>
      <c r="E525" s="14" t="s">
        <v>744</v>
      </c>
      <c r="F525" s="14" t="s">
        <v>71</v>
      </c>
      <c r="G525" s="68"/>
    </row>
    <row r="526" spans="1:7" ht="28.8" x14ac:dyDescent="0.3">
      <c r="A526" s="38" t="s">
        <v>672</v>
      </c>
      <c r="B526" s="16" t="s">
        <v>730</v>
      </c>
      <c r="C526" s="52" t="s">
        <v>745</v>
      </c>
      <c r="D526" s="27" t="s">
        <v>45</v>
      </c>
      <c r="E526" s="14" t="s">
        <v>746</v>
      </c>
      <c r="F526" s="14" t="s">
        <v>71</v>
      </c>
      <c r="G526" s="68"/>
    </row>
    <row r="527" spans="1:7" ht="43.8" thickBot="1" x14ac:dyDescent="0.35">
      <c r="A527" s="63" t="s">
        <v>672</v>
      </c>
      <c r="B527" s="64" t="s">
        <v>730</v>
      </c>
      <c r="C527" s="75" t="s">
        <v>747</v>
      </c>
      <c r="D527" s="66" t="s">
        <v>1176</v>
      </c>
      <c r="E527" s="107" t="s">
        <v>1703</v>
      </c>
      <c r="F527" s="67" t="s">
        <v>71</v>
      </c>
      <c r="G527" s="107"/>
    </row>
    <row r="528" spans="1:7" ht="57.6" x14ac:dyDescent="0.3">
      <c r="A528" s="16" t="s">
        <v>748</v>
      </c>
      <c r="B528" s="16" t="s">
        <v>749</v>
      </c>
      <c r="C528" s="52" t="s">
        <v>750</v>
      </c>
      <c r="D528" s="82" t="s">
        <v>45</v>
      </c>
      <c r="E528" s="11" t="s">
        <v>751</v>
      </c>
      <c r="F528" s="11" t="s">
        <v>752</v>
      </c>
      <c r="G528" s="106"/>
    </row>
    <row r="529" spans="1:7" ht="57.6" x14ac:dyDescent="0.3">
      <c r="A529" s="40" t="s">
        <v>748</v>
      </c>
      <c r="B529" s="16" t="s">
        <v>749</v>
      </c>
      <c r="C529" s="52" t="s">
        <v>753</v>
      </c>
      <c r="D529" s="26" t="s">
        <v>1176</v>
      </c>
      <c r="E529" s="11" t="s">
        <v>754</v>
      </c>
      <c r="F529" s="11" t="s">
        <v>752</v>
      </c>
      <c r="G529" s="106"/>
    </row>
    <row r="530" spans="1:7" ht="86.4" x14ac:dyDescent="0.3">
      <c r="A530" s="38" t="s">
        <v>748</v>
      </c>
      <c r="B530" s="20" t="s">
        <v>749</v>
      </c>
      <c r="C530" s="49" t="s">
        <v>755</v>
      </c>
      <c r="D530" s="27" t="s">
        <v>41</v>
      </c>
      <c r="E530" s="14" t="s">
        <v>756</v>
      </c>
      <c r="F530" s="11" t="s">
        <v>757</v>
      </c>
      <c r="G530" s="68"/>
    </row>
    <row r="531" spans="1:7" ht="43.2" x14ac:dyDescent="0.3">
      <c r="A531" s="38" t="s">
        <v>748</v>
      </c>
      <c r="B531" s="20" t="s">
        <v>749</v>
      </c>
      <c r="C531" s="49" t="s">
        <v>758</v>
      </c>
      <c r="D531" s="27" t="s">
        <v>41</v>
      </c>
      <c r="E531" s="14" t="s">
        <v>759</v>
      </c>
      <c r="F531" s="11" t="s">
        <v>760</v>
      </c>
      <c r="G531" s="68"/>
    </row>
    <row r="532" spans="1:7" s="36" customFormat="1" ht="43.2" x14ac:dyDescent="0.3">
      <c r="A532" s="115" t="s">
        <v>748</v>
      </c>
      <c r="B532" s="116" t="s">
        <v>749</v>
      </c>
      <c r="C532" s="117" t="s">
        <v>1862</v>
      </c>
      <c r="D532" s="118" t="s">
        <v>41</v>
      </c>
      <c r="E532" s="87" t="s">
        <v>1135</v>
      </c>
      <c r="F532" s="111" t="s">
        <v>760</v>
      </c>
      <c r="G532" s="87"/>
    </row>
    <row r="533" spans="1:7" ht="72" x14ac:dyDescent="0.3">
      <c r="A533" s="38" t="s">
        <v>748</v>
      </c>
      <c r="B533" s="20" t="s">
        <v>749</v>
      </c>
      <c r="C533" s="49" t="s">
        <v>762</v>
      </c>
      <c r="D533" s="27" t="s">
        <v>45</v>
      </c>
      <c r="E533" s="68" t="s">
        <v>1684</v>
      </c>
      <c r="F533" s="106" t="s">
        <v>1305</v>
      </c>
      <c r="G533" s="68"/>
    </row>
    <row r="534" spans="1:7" ht="72" x14ac:dyDescent="0.3">
      <c r="A534" s="38" t="s">
        <v>748</v>
      </c>
      <c r="B534" s="20" t="s">
        <v>749</v>
      </c>
      <c r="C534" s="49" t="s">
        <v>1173</v>
      </c>
      <c r="D534" s="27" t="s">
        <v>1176</v>
      </c>
      <c r="E534" s="68" t="s">
        <v>1685</v>
      </c>
      <c r="F534" s="106" t="s">
        <v>1305</v>
      </c>
      <c r="G534" s="68"/>
    </row>
    <row r="535" spans="1:7" ht="72" x14ac:dyDescent="0.3">
      <c r="A535" s="38" t="s">
        <v>748</v>
      </c>
      <c r="B535" s="20" t="s">
        <v>749</v>
      </c>
      <c r="C535" s="49" t="s">
        <v>763</v>
      </c>
      <c r="D535" s="27" t="s">
        <v>45</v>
      </c>
      <c r="E535" s="68" t="s">
        <v>1686</v>
      </c>
      <c r="F535" s="68" t="s">
        <v>1306</v>
      </c>
      <c r="G535" s="68"/>
    </row>
    <row r="536" spans="1:7" ht="72" x14ac:dyDescent="0.3">
      <c r="A536" s="38" t="s">
        <v>748</v>
      </c>
      <c r="B536" s="20" t="s">
        <v>749</v>
      </c>
      <c r="C536" s="49" t="s">
        <v>764</v>
      </c>
      <c r="D536" s="27" t="s">
        <v>1176</v>
      </c>
      <c r="E536" s="68" t="s">
        <v>1687</v>
      </c>
      <c r="F536" s="68" t="s">
        <v>1307</v>
      </c>
      <c r="G536" s="68"/>
    </row>
    <row r="537" spans="1:7" ht="57.6" x14ac:dyDescent="0.3">
      <c r="A537" s="38" t="s">
        <v>748</v>
      </c>
      <c r="B537" s="20" t="s">
        <v>749</v>
      </c>
      <c r="C537" s="49" t="s">
        <v>765</v>
      </c>
      <c r="D537" s="27" t="s">
        <v>45</v>
      </c>
      <c r="E537" s="14" t="s">
        <v>766</v>
      </c>
      <c r="F537" s="14" t="s">
        <v>767</v>
      </c>
      <c r="G537" s="68"/>
    </row>
    <row r="538" spans="1:7" ht="72" x14ac:dyDescent="0.3">
      <c r="A538" s="38" t="s">
        <v>748</v>
      </c>
      <c r="B538" s="20" t="s">
        <v>749</v>
      </c>
      <c r="C538" s="49" t="s">
        <v>768</v>
      </c>
      <c r="D538" s="27" t="s">
        <v>1176</v>
      </c>
      <c r="E538" s="68" t="s">
        <v>1688</v>
      </c>
      <c r="F538" s="14" t="s">
        <v>767</v>
      </c>
      <c r="G538" s="68"/>
    </row>
    <row r="539" spans="1:7" ht="86.4" x14ac:dyDescent="0.3">
      <c r="A539" s="38" t="s">
        <v>748</v>
      </c>
      <c r="B539" s="20" t="s">
        <v>749</v>
      </c>
      <c r="C539" s="49" t="s">
        <v>769</v>
      </c>
      <c r="D539" s="27" t="s">
        <v>45</v>
      </c>
      <c r="E539" s="68" t="s">
        <v>1704</v>
      </c>
      <c r="F539" s="14" t="s">
        <v>761</v>
      </c>
      <c r="G539" s="68"/>
    </row>
    <row r="540" spans="1:7" ht="72" x14ac:dyDescent="0.3">
      <c r="A540" s="38" t="s">
        <v>748</v>
      </c>
      <c r="B540" s="20" t="s">
        <v>749</v>
      </c>
      <c r="C540" s="49" t="s">
        <v>770</v>
      </c>
      <c r="D540" s="27" t="s">
        <v>1176</v>
      </c>
      <c r="E540" s="14" t="s">
        <v>771</v>
      </c>
      <c r="F540" s="14" t="s">
        <v>761</v>
      </c>
      <c r="G540" s="68"/>
    </row>
    <row r="541" spans="1:7" ht="57.6" x14ac:dyDescent="0.3">
      <c r="A541" s="38" t="s">
        <v>748</v>
      </c>
      <c r="B541" s="20" t="s">
        <v>749</v>
      </c>
      <c r="C541" s="49" t="s">
        <v>772</v>
      </c>
      <c r="D541" s="27" t="s">
        <v>41</v>
      </c>
      <c r="E541" s="14" t="s">
        <v>773</v>
      </c>
      <c r="F541" s="14" t="s">
        <v>774</v>
      </c>
      <c r="G541" s="68"/>
    </row>
    <row r="542" spans="1:7" ht="57.6" x14ac:dyDescent="0.3">
      <c r="A542" s="47" t="s">
        <v>748</v>
      </c>
      <c r="B542" s="48" t="s">
        <v>749</v>
      </c>
      <c r="C542" s="53" t="s">
        <v>775</v>
      </c>
      <c r="D542" s="27" t="s">
        <v>41</v>
      </c>
      <c r="E542" s="87" t="s">
        <v>1705</v>
      </c>
      <c r="F542" s="68" t="s">
        <v>101</v>
      </c>
      <c r="G542" s="87"/>
    </row>
    <row r="543" spans="1:7" ht="86.4" x14ac:dyDescent="0.3">
      <c r="A543" s="38" t="s">
        <v>748</v>
      </c>
      <c r="B543" s="20" t="s">
        <v>749</v>
      </c>
      <c r="C543" s="49" t="s">
        <v>776</v>
      </c>
      <c r="D543" s="27" t="s">
        <v>41</v>
      </c>
      <c r="E543" s="14" t="s">
        <v>1134</v>
      </c>
      <c r="F543" s="14" t="s">
        <v>774</v>
      </c>
      <c r="G543" s="68"/>
    </row>
    <row r="544" spans="1:7" ht="57.6" x14ac:dyDescent="0.3">
      <c r="A544" s="38" t="s">
        <v>748</v>
      </c>
      <c r="B544" s="20" t="s">
        <v>749</v>
      </c>
      <c r="C544" s="49" t="s">
        <v>777</v>
      </c>
      <c r="D544" s="27" t="s">
        <v>45</v>
      </c>
      <c r="E544" s="14" t="s">
        <v>778</v>
      </c>
      <c r="F544" s="14" t="s">
        <v>774</v>
      </c>
      <c r="G544" s="68"/>
    </row>
    <row r="545" spans="1:7" ht="57.6" x14ac:dyDescent="0.3">
      <c r="A545" s="38" t="s">
        <v>748</v>
      </c>
      <c r="B545" s="20" t="s">
        <v>749</v>
      </c>
      <c r="C545" s="49" t="s">
        <v>779</v>
      </c>
      <c r="D545" s="27" t="s">
        <v>1176</v>
      </c>
      <c r="E545" s="14" t="s">
        <v>780</v>
      </c>
      <c r="F545" s="14" t="s">
        <v>774</v>
      </c>
      <c r="G545" s="68"/>
    </row>
    <row r="546" spans="1:7" ht="43.2" x14ac:dyDescent="0.3">
      <c r="A546" s="38" t="s">
        <v>748</v>
      </c>
      <c r="B546" s="20" t="s">
        <v>749</v>
      </c>
      <c r="C546" s="49" t="s">
        <v>781</v>
      </c>
      <c r="D546" s="27" t="s">
        <v>41</v>
      </c>
      <c r="E546" s="14" t="s">
        <v>782</v>
      </c>
      <c r="F546" s="14" t="s">
        <v>783</v>
      </c>
      <c r="G546" s="68"/>
    </row>
    <row r="547" spans="1:7" ht="57.6" x14ac:dyDescent="0.3">
      <c r="A547" s="38" t="s">
        <v>748</v>
      </c>
      <c r="B547" s="20" t="s">
        <v>749</v>
      </c>
      <c r="C547" s="49" t="s">
        <v>784</v>
      </c>
      <c r="D547" s="27" t="s">
        <v>45</v>
      </c>
      <c r="E547" s="14" t="s">
        <v>785</v>
      </c>
      <c r="F547" s="14" t="s">
        <v>783</v>
      </c>
      <c r="G547" s="68"/>
    </row>
    <row r="548" spans="1:7" ht="58.2" thickBot="1" x14ac:dyDescent="0.35">
      <c r="A548" s="63" t="s">
        <v>748</v>
      </c>
      <c r="B548" s="64" t="s">
        <v>749</v>
      </c>
      <c r="C548" s="75" t="s">
        <v>786</v>
      </c>
      <c r="D548" s="66" t="s">
        <v>1176</v>
      </c>
      <c r="E548" s="67" t="s">
        <v>787</v>
      </c>
      <c r="F548" s="67" t="s">
        <v>783</v>
      </c>
      <c r="G548" s="107"/>
    </row>
    <row r="549" spans="1:7" ht="57.6" x14ac:dyDescent="0.3">
      <c r="A549" s="40" t="s">
        <v>748</v>
      </c>
      <c r="B549" s="16" t="s">
        <v>788</v>
      </c>
      <c r="C549" s="60" t="s">
        <v>789</v>
      </c>
      <c r="D549" s="26" t="s">
        <v>45</v>
      </c>
      <c r="E549" s="11" t="s">
        <v>790</v>
      </c>
      <c r="F549" s="106" t="s">
        <v>791</v>
      </c>
      <c r="G549" s="106"/>
    </row>
    <row r="550" spans="1:7" ht="72" x14ac:dyDescent="0.3">
      <c r="A550" s="38" t="s">
        <v>748</v>
      </c>
      <c r="B550" s="20" t="s">
        <v>788</v>
      </c>
      <c r="C550" s="57" t="s">
        <v>792</v>
      </c>
      <c r="D550" s="27" t="s">
        <v>1176</v>
      </c>
      <c r="E550" s="87" t="s">
        <v>1706</v>
      </c>
      <c r="F550" s="68" t="s">
        <v>791</v>
      </c>
      <c r="G550" s="68"/>
    </row>
    <row r="551" spans="1:7" ht="57.6" x14ac:dyDescent="0.3">
      <c r="A551" s="38" t="s">
        <v>748</v>
      </c>
      <c r="B551" s="20" t="s">
        <v>788</v>
      </c>
      <c r="C551" s="57" t="s">
        <v>793</v>
      </c>
      <c r="D551" s="27" t="s">
        <v>45</v>
      </c>
      <c r="E551" s="14" t="s">
        <v>794</v>
      </c>
      <c r="F551" s="68" t="s">
        <v>791</v>
      </c>
      <c r="G551" s="68"/>
    </row>
    <row r="552" spans="1:7" ht="43.2" x14ac:dyDescent="0.3">
      <c r="A552" s="38" t="s">
        <v>748</v>
      </c>
      <c r="B552" s="20" t="s">
        <v>788</v>
      </c>
      <c r="C552" s="57" t="s">
        <v>795</v>
      </c>
      <c r="D552" s="27" t="s">
        <v>1176</v>
      </c>
      <c r="E552" s="14" t="s">
        <v>796</v>
      </c>
      <c r="F552" s="68" t="s">
        <v>791</v>
      </c>
      <c r="G552" s="68"/>
    </row>
    <row r="553" spans="1:7" ht="57.6" x14ac:dyDescent="0.3">
      <c r="A553" s="38" t="s">
        <v>748</v>
      </c>
      <c r="B553" s="20" t="s">
        <v>788</v>
      </c>
      <c r="C553" s="57" t="s">
        <v>797</v>
      </c>
      <c r="D553" s="27" t="s">
        <v>45</v>
      </c>
      <c r="E553" s="14" t="s">
        <v>798</v>
      </c>
      <c r="F553" s="68" t="s">
        <v>791</v>
      </c>
      <c r="G553" s="68"/>
    </row>
    <row r="554" spans="1:7" ht="57.6" x14ac:dyDescent="0.3">
      <c r="A554" s="38" t="s">
        <v>748</v>
      </c>
      <c r="B554" s="20" t="s">
        <v>788</v>
      </c>
      <c r="C554" s="57" t="s">
        <v>799</v>
      </c>
      <c r="D554" s="27" t="s">
        <v>1176</v>
      </c>
      <c r="E554" s="14" t="s">
        <v>800</v>
      </c>
      <c r="F554" s="68" t="s">
        <v>791</v>
      </c>
      <c r="G554" s="68"/>
    </row>
    <row r="555" spans="1:7" ht="72" x14ac:dyDescent="0.3">
      <c r="A555" s="38" t="s">
        <v>748</v>
      </c>
      <c r="B555" s="20" t="s">
        <v>788</v>
      </c>
      <c r="C555" s="57" t="s">
        <v>801</v>
      </c>
      <c r="D555" s="27" t="s">
        <v>1176</v>
      </c>
      <c r="E555" s="87" t="s">
        <v>1707</v>
      </c>
      <c r="F555" s="68" t="s">
        <v>791</v>
      </c>
      <c r="G555" s="68"/>
    </row>
    <row r="556" spans="1:7" ht="57.6" x14ac:dyDescent="0.3">
      <c r="A556" s="38" t="s">
        <v>748</v>
      </c>
      <c r="B556" s="20" t="s">
        <v>788</v>
      </c>
      <c r="C556" s="57" t="s">
        <v>802</v>
      </c>
      <c r="D556" s="27" t="s">
        <v>45</v>
      </c>
      <c r="E556" s="68" t="s">
        <v>1689</v>
      </c>
      <c r="F556" s="14" t="s">
        <v>803</v>
      </c>
      <c r="G556" s="68"/>
    </row>
    <row r="557" spans="1:7" ht="43.2" x14ac:dyDescent="0.3">
      <c r="A557" s="38" t="s">
        <v>748</v>
      </c>
      <c r="B557" s="20" t="s">
        <v>788</v>
      </c>
      <c r="C557" s="57" t="s">
        <v>804</v>
      </c>
      <c r="D557" s="27" t="s">
        <v>1176</v>
      </c>
      <c r="E557" s="68" t="s">
        <v>1690</v>
      </c>
      <c r="F557" s="14" t="s">
        <v>803</v>
      </c>
      <c r="G557" s="68"/>
    </row>
    <row r="558" spans="1:7" ht="72" x14ac:dyDescent="0.3">
      <c r="A558" s="38" t="s">
        <v>748</v>
      </c>
      <c r="B558" s="20" t="s">
        <v>788</v>
      </c>
      <c r="C558" s="57" t="s">
        <v>805</v>
      </c>
      <c r="D558" s="27" t="s">
        <v>45</v>
      </c>
      <c r="E558" s="68" t="s">
        <v>1708</v>
      </c>
      <c r="F558" s="14" t="s">
        <v>806</v>
      </c>
      <c r="G558" s="68"/>
    </row>
    <row r="559" spans="1:7" ht="72" x14ac:dyDescent="0.3">
      <c r="A559" s="20" t="s">
        <v>748</v>
      </c>
      <c r="B559" s="20" t="s">
        <v>788</v>
      </c>
      <c r="C559" s="57" t="s">
        <v>807</v>
      </c>
      <c r="D559" s="27" t="s">
        <v>1176</v>
      </c>
      <c r="E559" s="87" t="s">
        <v>1709</v>
      </c>
      <c r="F559" s="14" t="s">
        <v>806</v>
      </c>
      <c r="G559" s="68"/>
    </row>
    <row r="560" spans="1:7" ht="72" x14ac:dyDescent="0.3">
      <c r="A560" s="40" t="s">
        <v>748</v>
      </c>
      <c r="B560" s="16" t="s">
        <v>788</v>
      </c>
      <c r="C560" s="60" t="s">
        <v>808</v>
      </c>
      <c r="D560" s="26" t="s">
        <v>41</v>
      </c>
      <c r="E560" s="106" t="s">
        <v>1710</v>
      </c>
      <c r="F560" s="11" t="s">
        <v>806</v>
      </c>
      <c r="G560" s="106"/>
    </row>
    <row r="561" spans="1:7" ht="72" x14ac:dyDescent="0.3">
      <c r="A561" s="38" t="s">
        <v>748</v>
      </c>
      <c r="B561" s="20" t="s">
        <v>788</v>
      </c>
      <c r="C561" s="57" t="s">
        <v>809</v>
      </c>
      <c r="D561" s="27" t="s">
        <v>45</v>
      </c>
      <c r="E561" s="68" t="s">
        <v>1711</v>
      </c>
      <c r="F561" s="14" t="s">
        <v>806</v>
      </c>
      <c r="G561" s="68"/>
    </row>
    <row r="562" spans="1:7" ht="86.4" x14ac:dyDescent="0.3">
      <c r="A562" s="38" t="s">
        <v>748</v>
      </c>
      <c r="B562" s="20" t="s">
        <v>788</v>
      </c>
      <c r="C562" s="57" t="s">
        <v>810</v>
      </c>
      <c r="D562" s="27" t="s">
        <v>1176</v>
      </c>
      <c r="E562" s="68" t="s">
        <v>1712</v>
      </c>
      <c r="F562" s="14" t="s">
        <v>806</v>
      </c>
      <c r="G562" s="68"/>
    </row>
    <row r="563" spans="1:7" ht="72" x14ac:dyDescent="0.3">
      <c r="A563" s="38" t="s">
        <v>748</v>
      </c>
      <c r="B563" s="20" t="s">
        <v>788</v>
      </c>
      <c r="C563" s="57" t="s">
        <v>811</v>
      </c>
      <c r="D563" s="27" t="s">
        <v>1176</v>
      </c>
      <c r="E563" s="87" t="s">
        <v>1713</v>
      </c>
      <c r="F563" s="14" t="s">
        <v>806</v>
      </c>
      <c r="G563" s="68"/>
    </row>
    <row r="564" spans="1:7" ht="28.8" x14ac:dyDescent="0.3">
      <c r="A564" s="38" t="s">
        <v>748</v>
      </c>
      <c r="B564" s="20" t="s">
        <v>788</v>
      </c>
      <c r="C564" s="57" t="s">
        <v>812</v>
      </c>
      <c r="D564" s="27" t="s">
        <v>41</v>
      </c>
      <c r="E564" s="14" t="s">
        <v>813</v>
      </c>
      <c r="F564" s="14" t="s">
        <v>814</v>
      </c>
      <c r="G564" s="68"/>
    </row>
    <row r="565" spans="1:7" ht="72" x14ac:dyDescent="0.3">
      <c r="A565" s="38" t="s">
        <v>748</v>
      </c>
      <c r="B565" s="20" t="s">
        <v>788</v>
      </c>
      <c r="C565" s="57" t="s">
        <v>815</v>
      </c>
      <c r="D565" s="27" t="s">
        <v>41</v>
      </c>
      <c r="E565" s="68" t="s">
        <v>1714</v>
      </c>
      <c r="F565" s="14" t="s">
        <v>816</v>
      </c>
      <c r="G565" s="68"/>
    </row>
    <row r="566" spans="1:7" ht="72" x14ac:dyDescent="0.3">
      <c r="A566" s="38" t="s">
        <v>748</v>
      </c>
      <c r="B566" s="20" t="s">
        <v>788</v>
      </c>
      <c r="C566" s="57" t="s">
        <v>817</v>
      </c>
      <c r="D566" s="27" t="s">
        <v>45</v>
      </c>
      <c r="E566" s="14" t="s">
        <v>818</v>
      </c>
      <c r="F566" s="14" t="s">
        <v>819</v>
      </c>
      <c r="G566" s="68"/>
    </row>
    <row r="567" spans="1:7" ht="28.8" x14ac:dyDescent="0.3">
      <c r="A567" s="38" t="s">
        <v>748</v>
      </c>
      <c r="B567" s="20" t="s">
        <v>788</v>
      </c>
      <c r="C567" s="57" t="s">
        <v>820</v>
      </c>
      <c r="D567" s="27" t="s">
        <v>1176</v>
      </c>
      <c r="E567" s="14" t="s">
        <v>821</v>
      </c>
      <c r="F567" s="14" t="s">
        <v>819</v>
      </c>
      <c r="G567" s="68"/>
    </row>
    <row r="568" spans="1:7" ht="57.6" x14ac:dyDescent="0.3">
      <c r="A568" s="38" t="s">
        <v>748</v>
      </c>
      <c r="B568" s="20" t="s">
        <v>788</v>
      </c>
      <c r="C568" s="57" t="s">
        <v>822</v>
      </c>
      <c r="D568" s="27" t="s">
        <v>45</v>
      </c>
      <c r="E568" s="68" t="s">
        <v>1715</v>
      </c>
      <c r="F568" s="14" t="s">
        <v>823</v>
      </c>
      <c r="G568" s="68"/>
    </row>
    <row r="569" spans="1:7" ht="43.2" x14ac:dyDescent="0.3">
      <c r="A569" s="38" t="s">
        <v>748</v>
      </c>
      <c r="B569" s="20" t="s">
        <v>788</v>
      </c>
      <c r="C569" s="57" t="s">
        <v>824</v>
      </c>
      <c r="D569" s="27" t="s">
        <v>1176</v>
      </c>
      <c r="E569" s="68" t="s">
        <v>1716</v>
      </c>
      <c r="F569" s="14" t="s">
        <v>823</v>
      </c>
      <c r="G569" s="68"/>
    </row>
    <row r="570" spans="1:7" ht="57.6" x14ac:dyDescent="0.3">
      <c r="A570" s="38" t="s">
        <v>748</v>
      </c>
      <c r="B570" s="20" t="s">
        <v>788</v>
      </c>
      <c r="C570" s="57" t="s">
        <v>825</v>
      </c>
      <c r="D570" s="27" t="s">
        <v>45</v>
      </c>
      <c r="E570" s="14" t="s">
        <v>826</v>
      </c>
      <c r="F570" s="14" t="s">
        <v>827</v>
      </c>
      <c r="G570" s="68"/>
    </row>
    <row r="571" spans="1:7" ht="43.2" x14ac:dyDescent="0.3">
      <c r="A571" s="20" t="s">
        <v>748</v>
      </c>
      <c r="B571" s="20" t="s">
        <v>788</v>
      </c>
      <c r="C571" s="57" t="s">
        <v>828</v>
      </c>
      <c r="D571" s="27" t="s">
        <v>1176</v>
      </c>
      <c r="E571" s="14" t="s">
        <v>829</v>
      </c>
      <c r="F571" s="14" t="s">
        <v>827</v>
      </c>
      <c r="G571" s="68"/>
    </row>
    <row r="572" spans="1:7" ht="43.2" x14ac:dyDescent="0.3">
      <c r="A572" s="40" t="s">
        <v>748</v>
      </c>
      <c r="B572" s="16" t="s">
        <v>788</v>
      </c>
      <c r="C572" s="60" t="s">
        <v>830</v>
      </c>
      <c r="D572" s="26" t="s">
        <v>45</v>
      </c>
      <c r="E572" s="11" t="s">
        <v>831</v>
      </c>
      <c r="F572" s="11" t="s">
        <v>827</v>
      </c>
      <c r="G572" s="106"/>
    </row>
    <row r="573" spans="1:7" ht="43.2" x14ac:dyDescent="0.3">
      <c r="A573" s="38" t="s">
        <v>748</v>
      </c>
      <c r="B573" s="20" t="s">
        <v>788</v>
      </c>
      <c r="C573" s="57" t="s">
        <v>832</v>
      </c>
      <c r="D573" s="27" t="s">
        <v>1176</v>
      </c>
      <c r="E573" s="14" t="s">
        <v>833</v>
      </c>
      <c r="F573" s="14" t="s">
        <v>827</v>
      </c>
      <c r="G573" s="68"/>
    </row>
    <row r="574" spans="1:7" ht="72" x14ac:dyDescent="0.3">
      <c r="A574" s="38" t="s">
        <v>748</v>
      </c>
      <c r="B574" s="20" t="s">
        <v>788</v>
      </c>
      <c r="C574" s="57" t="s">
        <v>834</v>
      </c>
      <c r="D574" s="27" t="s">
        <v>45</v>
      </c>
      <c r="E574" s="14" t="s">
        <v>835</v>
      </c>
      <c r="F574" s="14" t="s">
        <v>836</v>
      </c>
      <c r="G574" s="68"/>
    </row>
    <row r="575" spans="1:7" ht="57.6" x14ac:dyDescent="0.3">
      <c r="A575" s="38" t="s">
        <v>748</v>
      </c>
      <c r="B575" s="20" t="s">
        <v>788</v>
      </c>
      <c r="C575" s="57" t="s">
        <v>837</v>
      </c>
      <c r="D575" s="27" t="s">
        <v>1176</v>
      </c>
      <c r="E575" s="41" t="s">
        <v>838</v>
      </c>
      <c r="F575" s="14" t="s">
        <v>836</v>
      </c>
      <c r="G575" s="68"/>
    </row>
    <row r="576" spans="1:7" ht="57.6" x14ac:dyDescent="0.3">
      <c r="A576" s="38" t="s">
        <v>748</v>
      </c>
      <c r="B576" s="20" t="s">
        <v>788</v>
      </c>
      <c r="C576" s="57" t="s">
        <v>839</v>
      </c>
      <c r="D576" s="27" t="s">
        <v>41</v>
      </c>
      <c r="E576" s="14" t="s">
        <v>840</v>
      </c>
      <c r="F576" s="14" t="s">
        <v>836</v>
      </c>
      <c r="G576" s="68"/>
    </row>
    <row r="577" spans="1:7" ht="57.6" x14ac:dyDescent="0.3">
      <c r="A577" s="38" t="s">
        <v>748</v>
      </c>
      <c r="B577" s="20" t="s">
        <v>788</v>
      </c>
      <c r="C577" s="57" t="s">
        <v>841</v>
      </c>
      <c r="D577" s="27" t="s">
        <v>45</v>
      </c>
      <c r="E577" s="14" t="s">
        <v>842</v>
      </c>
      <c r="F577" s="14" t="s">
        <v>836</v>
      </c>
      <c r="G577" s="68"/>
    </row>
    <row r="578" spans="1:7" ht="57.6" x14ac:dyDescent="0.3">
      <c r="A578" s="38" t="s">
        <v>748</v>
      </c>
      <c r="B578" s="20" t="s">
        <v>788</v>
      </c>
      <c r="C578" s="57" t="s">
        <v>843</v>
      </c>
      <c r="D578" s="27" t="s">
        <v>1176</v>
      </c>
      <c r="E578" s="14" t="s">
        <v>844</v>
      </c>
      <c r="F578" s="14" t="s">
        <v>836</v>
      </c>
      <c r="G578" s="68"/>
    </row>
    <row r="579" spans="1:7" ht="43.2" x14ac:dyDescent="0.3">
      <c r="A579" s="38" t="s">
        <v>748</v>
      </c>
      <c r="B579" s="20" t="s">
        <v>788</v>
      </c>
      <c r="C579" s="57" t="s">
        <v>845</v>
      </c>
      <c r="D579" s="27" t="s">
        <v>41</v>
      </c>
      <c r="E579" s="14" t="s">
        <v>846</v>
      </c>
      <c r="F579" s="14" t="s">
        <v>814</v>
      </c>
      <c r="G579" s="68"/>
    </row>
    <row r="580" spans="1:7" ht="57.6" x14ac:dyDescent="0.3">
      <c r="A580" s="38" t="s">
        <v>748</v>
      </c>
      <c r="B580" s="20" t="s">
        <v>788</v>
      </c>
      <c r="C580" s="57" t="s">
        <v>847</v>
      </c>
      <c r="D580" s="27" t="s">
        <v>45</v>
      </c>
      <c r="E580" s="14" t="s">
        <v>848</v>
      </c>
      <c r="F580" s="14" t="s">
        <v>814</v>
      </c>
      <c r="G580" s="68"/>
    </row>
    <row r="581" spans="1:7" ht="57.6" x14ac:dyDescent="0.3">
      <c r="A581" s="38" t="s">
        <v>748</v>
      </c>
      <c r="B581" s="20" t="s">
        <v>788</v>
      </c>
      <c r="C581" s="57" t="s">
        <v>849</v>
      </c>
      <c r="D581" s="27" t="s">
        <v>1176</v>
      </c>
      <c r="E581" s="14" t="s">
        <v>850</v>
      </c>
      <c r="F581" s="14" t="s">
        <v>814</v>
      </c>
      <c r="G581" s="68"/>
    </row>
    <row r="582" spans="1:7" ht="57.6" x14ac:dyDescent="0.3">
      <c r="A582" s="38" t="s">
        <v>748</v>
      </c>
      <c r="B582" s="20" t="s">
        <v>788</v>
      </c>
      <c r="C582" s="57" t="s">
        <v>851</v>
      </c>
      <c r="D582" s="27" t="s">
        <v>1176</v>
      </c>
      <c r="E582" s="14" t="s">
        <v>852</v>
      </c>
      <c r="F582" s="14" t="s">
        <v>814</v>
      </c>
      <c r="G582" s="68"/>
    </row>
    <row r="583" spans="1:7" ht="57.6" x14ac:dyDescent="0.3">
      <c r="A583" s="38" t="s">
        <v>748</v>
      </c>
      <c r="B583" s="20" t="s">
        <v>788</v>
      </c>
      <c r="C583" s="57" t="s">
        <v>853</v>
      </c>
      <c r="D583" s="27" t="s">
        <v>45</v>
      </c>
      <c r="E583" s="14" t="s">
        <v>854</v>
      </c>
      <c r="F583" s="14" t="s">
        <v>855</v>
      </c>
      <c r="G583" s="68"/>
    </row>
    <row r="584" spans="1:7" ht="43.2" x14ac:dyDescent="0.3">
      <c r="A584" s="38" t="s">
        <v>748</v>
      </c>
      <c r="B584" s="20" t="s">
        <v>788</v>
      </c>
      <c r="C584" s="57" t="s">
        <v>856</v>
      </c>
      <c r="D584" s="27" t="s">
        <v>1176</v>
      </c>
      <c r="E584" s="14" t="s">
        <v>857</v>
      </c>
      <c r="F584" s="14" t="s">
        <v>855</v>
      </c>
      <c r="G584" s="68"/>
    </row>
    <row r="585" spans="1:7" ht="72" x14ac:dyDescent="0.3">
      <c r="A585" s="38" t="s">
        <v>748</v>
      </c>
      <c r="B585" s="20" t="s">
        <v>788</v>
      </c>
      <c r="C585" s="57" t="s">
        <v>858</v>
      </c>
      <c r="D585" s="27" t="s">
        <v>41</v>
      </c>
      <c r="E585" s="14" t="s">
        <v>859</v>
      </c>
      <c r="F585" s="14" t="s">
        <v>855</v>
      </c>
      <c r="G585" s="68"/>
    </row>
    <row r="586" spans="1:7" ht="72" x14ac:dyDescent="0.3">
      <c r="A586" s="38" t="s">
        <v>748</v>
      </c>
      <c r="B586" s="20" t="s">
        <v>788</v>
      </c>
      <c r="C586" s="57" t="s">
        <v>860</v>
      </c>
      <c r="D586" s="27" t="s">
        <v>45</v>
      </c>
      <c r="E586" s="14" t="s">
        <v>861</v>
      </c>
      <c r="F586" s="14" t="s">
        <v>855</v>
      </c>
      <c r="G586" s="68"/>
    </row>
    <row r="587" spans="1:7" ht="86.4" x14ac:dyDescent="0.3">
      <c r="A587" s="38" t="s">
        <v>748</v>
      </c>
      <c r="B587" s="20" t="s">
        <v>788</v>
      </c>
      <c r="C587" s="57" t="s">
        <v>862</v>
      </c>
      <c r="D587" s="27" t="s">
        <v>1176</v>
      </c>
      <c r="E587" s="14" t="s">
        <v>863</v>
      </c>
      <c r="F587" s="14" t="s">
        <v>855</v>
      </c>
      <c r="G587" s="68"/>
    </row>
    <row r="588" spans="1:7" ht="43.2" x14ac:dyDescent="0.3">
      <c r="A588" s="38" t="s">
        <v>748</v>
      </c>
      <c r="B588" s="20" t="s">
        <v>788</v>
      </c>
      <c r="C588" s="57" t="s">
        <v>864</v>
      </c>
      <c r="D588" s="27" t="s">
        <v>41</v>
      </c>
      <c r="E588" s="14" t="s">
        <v>865</v>
      </c>
      <c r="F588" s="14" t="s">
        <v>855</v>
      </c>
      <c r="G588" s="68"/>
    </row>
    <row r="589" spans="1:7" ht="57.6" x14ac:dyDescent="0.3">
      <c r="A589" s="38" t="s">
        <v>748</v>
      </c>
      <c r="B589" s="20" t="s">
        <v>788</v>
      </c>
      <c r="C589" s="57" t="s">
        <v>866</v>
      </c>
      <c r="D589" s="27" t="s">
        <v>45</v>
      </c>
      <c r="E589" s="14" t="s">
        <v>867</v>
      </c>
      <c r="F589" s="14" t="s">
        <v>855</v>
      </c>
      <c r="G589" s="68"/>
    </row>
    <row r="590" spans="1:7" ht="57.6" x14ac:dyDescent="0.3">
      <c r="A590" s="38" t="s">
        <v>748</v>
      </c>
      <c r="B590" s="20" t="s">
        <v>788</v>
      </c>
      <c r="C590" s="57" t="s">
        <v>868</v>
      </c>
      <c r="D590" s="27" t="s">
        <v>1176</v>
      </c>
      <c r="E590" s="68" t="s">
        <v>1717</v>
      </c>
      <c r="F590" s="14" t="s">
        <v>855</v>
      </c>
      <c r="G590" s="68"/>
    </row>
    <row r="591" spans="1:7" ht="72" x14ac:dyDescent="0.3">
      <c r="A591" s="20" t="s">
        <v>748</v>
      </c>
      <c r="B591" s="20" t="s">
        <v>788</v>
      </c>
      <c r="C591" s="57" t="s">
        <v>869</v>
      </c>
      <c r="D591" s="27" t="s">
        <v>1176</v>
      </c>
      <c r="E591" s="14" t="s">
        <v>870</v>
      </c>
      <c r="F591" s="14" t="s">
        <v>855</v>
      </c>
      <c r="G591" s="68"/>
    </row>
    <row r="592" spans="1:7" ht="57.6" x14ac:dyDescent="0.3">
      <c r="A592" s="40" t="s">
        <v>748</v>
      </c>
      <c r="B592" s="16" t="s">
        <v>788</v>
      </c>
      <c r="C592" s="60" t="s">
        <v>871</v>
      </c>
      <c r="D592" s="26" t="s">
        <v>41</v>
      </c>
      <c r="E592" s="106" t="s">
        <v>1718</v>
      </c>
      <c r="F592" s="11" t="s">
        <v>806</v>
      </c>
      <c r="G592" s="106"/>
    </row>
    <row r="593" spans="1:7" ht="57.6" x14ac:dyDescent="0.3">
      <c r="A593" s="38" t="s">
        <v>748</v>
      </c>
      <c r="B593" s="20" t="s">
        <v>788</v>
      </c>
      <c r="C593" s="57" t="s">
        <v>872</v>
      </c>
      <c r="D593" s="27" t="s">
        <v>45</v>
      </c>
      <c r="E593" s="68" t="s">
        <v>1719</v>
      </c>
      <c r="F593" s="14" t="s">
        <v>806</v>
      </c>
      <c r="G593" s="68"/>
    </row>
    <row r="594" spans="1:7" ht="57.6" x14ac:dyDescent="0.3">
      <c r="A594" s="38" t="s">
        <v>748</v>
      </c>
      <c r="B594" s="20" t="s">
        <v>788</v>
      </c>
      <c r="C594" s="57" t="s">
        <v>873</v>
      </c>
      <c r="D594" s="27" t="s">
        <v>1176</v>
      </c>
      <c r="E594" s="68" t="s">
        <v>1720</v>
      </c>
      <c r="F594" s="14" t="s">
        <v>806</v>
      </c>
      <c r="G594" s="68"/>
    </row>
    <row r="595" spans="1:7" ht="57.6" x14ac:dyDescent="0.3">
      <c r="A595" s="38" t="s">
        <v>748</v>
      </c>
      <c r="B595" s="20" t="s">
        <v>788</v>
      </c>
      <c r="C595" s="57" t="s">
        <v>874</v>
      </c>
      <c r="D595" s="27" t="s">
        <v>41</v>
      </c>
      <c r="E595" s="14" t="s">
        <v>875</v>
      </c>
      <c r="F595" s="68" t="s">
        <v>1308</v>
      </c>
      <c r="G595" s="68"/>
    </row>
    <row r="596" spans="1:7" ht="57.6" x14ac:dyDescent="0.3">
      <c r="A596" s="38" t="s">
        <v>748</v>
      </c>
      <c r="B596" s="20" t="s">
        <v>788</v>
      </c>
      <c r="C596" s="57" t="s">
        <v>876</v>
      </c>
      <c r="D596" s="27" t="s">
        <v>45</v>
      </c>
      <c r="E596" s="14" t="s">
        <v>877</v>
      </c>
      <c r="F596" s="68" t="s">
        <v>1308</v>
      </c>
      <c r="G596" s="68"/>
    </row>
    <row r="597" spans="1:7" ht="72" x14ac:dyDescent="0.3">
      <c r="A597" s="38" t="s">
        <v>748</v>
      </c>
      <c r="B597" s="20" t="s">
        <v>788</v>
      </c>
      <c r="C597" s="57" t="s">
        <v>878</v>
      </c>
      <c r="D597" s="27" t="s">
        <v>1176</v>
      </c>
      <c r="E597" s="14" t="s">
        <v>879</v>
      </c>
      <c r="F597" s="68" t="s">
        <v>1308</v>
      </c>
      <c r="G597" s="68"/>
    </row>
    <row r="598" spans="1:7" ht="72" x14ac:dyDescent="0.3">
      <c r="A598" s="38" t="s">
        <v>748</v>
      </c>
      <c r="B598" s="20" t="s">
        <v>788</v>
      </c>
      <c r="C598" s="57" t="s">
        <v>880</v>
      </c>
      <c r="D598" s="27" t="s">
        <v>41</v>
      </c>
      <c r="E598" s="14" t="s">
        <v>881</v>
      </c>
      <c r="F598" s="14" t="s">
        <v>586</v>
      </c>
      <c r="G598" s="68" t="s">
        <v>882</v>
      </c>
    </row>
    <row r="599" spans="1:7" ht="72" x14ac:dyDescent="0.3">
      <c r="A599" s="38" t="s">
        <v>748</v>
      </c>
      <c r="B599" s="20" t="s">
        <v>788</v>
      </c>
      <c r="C599" s="57" t="s">
        <v>883</v>
      </c>
      <c r="D599" s="27" t="s">
        <v>41</v>
      </c>
      <c r="E599" s="14" t="s">
        <v>884</v>
      </c>
      <c r="F599" s="14" t="s">
        <v>586</v>
      </c>
      <c r="G599" s="68" t="s">
        <v>882</v>
      </c>
    </row>
    <row r="600" spans="1:7" ht="72" x14ac:dyDescent="0.3">
      <c r="A600" s="38" t="s">
        <v>748</v>
      </c>
      <c r="B600" s="20" t="s">
        <v>788</v>
      </c>
      <c r="C600" s="57" t="s">
        <v>885</v>
      </c>
      <c r="D600" s="27" t="s">
        <v>41</v>
      </c>
      <c r="E600" s="14" t="s">
        <v>886</v>
      </c>
      <c r="F600" s="14" t="s">
        <v>586</v>
      </c>
      <c r="G600" s="68" t="s">
        <v>887</v>
      </c>
    </row>
    <row r="601" spans="1:7" ht="129.6" x14ac:dyDescent="0.3">
      <c r="A601" s="38" t="s">
        <v>748</v>
      </c>
      <c r="B601" s="20" t="s">
        <v>788</v>
      </c>
      <c r="C601" s="57" t="s">
        <v>888</v>
      </c>
      <c r="D601" s="27" t="s">
        <v>41</v>
      </c>
      <c r="E601" s="14" t="s">
        <v>889</v>
      </c>
      <c r="F601" s="14" t="s">
        <v>890</v>
      </c>
      <c r="G601" s="68"/>
    </row>
    <row r="602" spans="1:7" ht="86.4" x14ac:dyDescent="0.3">
      <c r="A602" s="38" t="s">
        <v>748</v>
      </c>
      <c r="B602" s="20" t="s">
        <v>788</v>
      </c>
      <c r="C602" s="57" t="s">
        <v>891</v>
      </c>
      <c r="D602" s="27" t="s">
        <v>41</v>
      </c>
      <c r="E602" s="68" t="s">
        <v>1721</v>
      </c>
      <c r="F602" s="14" t="s">
        <v>892</v>
      </c>
      <c r="G602" s="68"/>
    </row>
    <row r="603" spans="1:7" ht="57.6" x14ac:dyDescent="0.3">
      <c r="A603" s="38" t="s">
        <v>748</v>
      </c>
      <c r="B603" s="20" t="s">
        <v>788</v>
      </c>
      <c r="C603" s="57" t="s">
        <v>893</v>
      </c>
      <c r="D603" s="27" t="s">
        <v>45</v>
      </c>
      <c r="E603" s="14" t="s">
        <v>894</v>
      </c>
      <c r="F603" s="14" t="s">
        <v>895</v>
      </c>
      <c r="G603" s="68"/>
    </row>
    <row r="604" spans="1:7" ht="57.6" x14ac:dyDescent="0.3">
      <c r="A604" s="38" t="s">
        <v>748</v>
      </c>
      <c r="B604" s="20" t="s">
        <v>788</v>
      </c>
      <c r="C604" s="57" t="s">
        <v>896</v>
      </c>
      <c r="D604" s="27" t="s">
        <v>1176</v>
      </c>
      <c r="E604" s="68" t="s">
        <v>1722</v>
      </c>
      <c r="F604" s="14" t="s">
        <v>897</v>
      </c>
      <c r="G604" s="68"/>
    </row>
    <row r="605" spans="1:7" ht="72" x14ac:dyDescent="0.3">
      <c r="A605" s="38" t="s">
        <v>748</v>
      </c>
      <c r="B605" s="20" t="s">
        <v>788</v>
      </c>
      <c r="C605" s="57" t="s">
        <v>898</v>
      </c>
      <c r="D605" s="27" t="s">
        <v>45</v>
      </c>
      <c r="E605" s="14" t="s">
        <v>899</v>
      </c>
      <c r="F605" s="14" t="s">
        <v>900</v>
      </c>
      <c r="G605" s="68" t="s">
        <v>901</v>
      </c>
    </row>
    <row r="606" spans="1:7" ht="72" x14ac:dyDescent="0.3">
      <c r="A606" s="38" t="s">
        <v>748</v>
      </c>
      <c r="B606" s="20" t="s">
        <v>788</v>
      </c>
      <c r="C606" s="57" t="s">
        <v>902</v>
      </c>
      <c r="D606" s="27" t="s">
        <v>1176</v>
      </c>
      <c r="E606" s="14" t="s">
        <v>903</v>
      </c>
      <c r="F606" s="14" t="s">
        <v>900</v>
      </c>
      <c r="G606" s="68" t="s">
        <v>901</v>
      </c>
    </row>
    <row r="607" spans="1:7" ht="72" x14ac:dyDescent="0.3">
      <c r="A607" s="38" t="s">
        <v>748</v>
      </c>
      <c r="B607" s="20" t="s">
        <v>788</v>
      </c>
      <c r="C607" s="57" t="s">
        <v>904</v>
      </c>
      <c r="D607" s="27" t="s">
        <v>1176</v>
      </c>
      <c r="E607" s="68" t="s">
        <v>1723</v>
      </c>
      <c r="F607" s="14" t="s">
        <v>900</v>
      </c>
      <c r="G607" s="68" t="s">
        <v>901</v>
      </c>
    </row>
    <row r="608" spans="1:7" ht="72" x14ac:dyDescent="0.3">
      <c r="A608" s="38" t="s">
        <v>748</v>
      </c>
      <c r="B608" s="20" t="s">
        <v>788</v>
      </c>
      <c r="C608" s="57" t="s">
        <v>905</v>
      </c>
      <c r="D608" s="27" t="s">
        <v>1176</v>
      </c>
      <c r="E608" s="68" t="s">
        <v>1724</v>
      </c>
      <c r="F608" s="14" t="s">
        <v>900</v>
      </c>
      <c r="G608" s="68" t="s">
        <v>901</v>
      </c>
    </row>
    <row r="609" spans="1:7" ht="72" x14ac:dyDescent="0.3">
      <c r="A609" s="38" t="s">
        <v>748</v>
      </c>
      <c r="B609" s="20" t="s">
        <v>788</v>
      </c>
      <c r="C609" s="57" t="s">
        <v>906</v>
      </c>
      <c r="D609" s="27" t="s">
        <v>41</v>
      </c>
      <c r="E609" s="68" t="s">
        <v>1725</v>
      </c>
      <c r="F609" s="14" t="s">
        <v>900</v>
      </c>
      <c r="G609" s="68" t="s">
        <v>901</v>
      </c>
    </row>
    <row r="610" spans="1:7" ht="72" x14ac:dyDescent="0.3">
      <c r="A610" s="38" t="s">
        <v>748</v>
      </c>
      <c r="B610" s="20" t="s">
        <v>788</v>
      </c>
      <c r="C610" s="57" t="s">
        <v>907</v>
      </c>
      <c r="D610" s="27" t="s">
        <v>41</v>
      </c>
      <c r="E610" s="68" t="s">
        <v>1726</v>
      </c>
      <c r="F610" s="14" t="s">
        <v>586</v>
      </c>
      <c r="G610" s="68" t="s">
        <v>882</v>
      </c>
    </row>
    <row r="611" spans="1:7" ht="72" x14ac:dyDescent="0.3">
      <c r="A611" s="38" t="s">
        <v>748</v>
      </c>
      <c r="B611" s="20" t="s">
        <v>788</v>
      </c>
      <c r="C611" s="57" t="s">
        <v>908</v>
      </c>
      <c r="D611" s="27" t="s">
        <v>41</v>
      </c>
      <c r="E611" s="68" t="s">
        <v>1727</v>
      </c>
      <c r="F611" s="14" t="s">
        <v>586</v>
      </c>
      <c r="G611" s="68" t="s">
        <v>882</v>
      </c>
    </row>
    <row r="612" spans="1:7" ht="72" x14ac:dyDescent="0.3">
      <c r="A612" s="38" t="s">
        <v>748</v>
      </c>
      <c r="B612" s="20" t="s">
        <v>788</v>
      </c>
      <c r="C612" s="57" t="s">
        <v>909</v>
      </c>
      <c r="D612" s="27" t="s">
        <v>45</v>
      </c>
      <c r="E612" s="14" t="s">
        <v>910</v>
      </c>
      <c r="F612" s="14" t="s">
        <v>586</v>
      </c>
      <c r="G612" s="68" t="s">
        <v>882</v>
      </c>
    </row>
    <row r="613" spans="1:7" ht="72" x14ac:dyDescent="0.3">
      <c r="A613" s="38" t="s">
        <v>748</v>
      </c>
      <c r="B613" s="20" t="s">
        <v>788</v>
      </c>
      <c r="C613" s="57" t="s">
        <v>911</v>
      </c>
      <c r="D613" s="27" t="s">
        <v>1176</v>
      </c>
      <c r="E613" s="68" t="s">
        <v>1728</v>
      </c>
      <c r="F613" s="14" t="s">
        <v>586</v>
      </c>
      <c r="G613" s="68" t="s">
        <v>882</v>
      </c>
    </row>
    <row r="614" spans="1:7" ht="57.6" x14ac:dyDescent="0.3">
      <c r="A614" s="38" t="s">
        <v>748</v>
      </c>
      <c r="B614" s="20" t="s">
        <v>788</v>
      </c>
      <c r="C614" s="57" t="s">
        <v>912</v>
      </c>
      <c r="D614" s="27" t="s">
        <v>45</v>
      </c>
      <c r="E614" s="14" t="s">
        <v>913</v>
      </c>
      <c r="F614" s="14" t="s">
        <v>914</v>
      </c>
      <c r="G614" s="68"/>
    </row>
    <row r="615" spans="1:7" ht="57.6" x14ac:dyDescent="0.3">
      <c r="A615" s="38" t="s">
        <v>748</v>
      </c>
      <c r="B615" s="20" t="s">
        <v>788</v>
      </c>
      <c r="C615" s="57" t="s">
        <v>915</v>
      </c>
      <c r="D615" s="27" t="s">
        <v>1176</v>
      </c>
      <c r="E615" s="68" t="s">
        <v>1729</v>
      </c>
      <c r="F615" s="14" t="s">
        <v>914</v>
      </c>
      <c r="G615" s="68"/>
    </row>
    <row r="616" spans="1:7" ht="72" x14ac:dyDescent="0.3">
      <c r="A616" s="38" t="s">
        <v>748</v>
      </c>
      <c r="B616" s="20" t="s">
        <v>788</v>
      </c>
      <c r="C616" s="57" t="s">
        <v>916</v>
      </c>
      <c r="D616" s="27" t="s">
        <v>1176</v>
      </c>
      <c r="E616" s="87" t="s">
        <v>1730</v>
      </c>
      <c r="F616" s="14" t="s">
        <v>914</v>
      </c>
      <c r="G616" s="68"/>
    </row>
    <row r="617" spans="1:7" ht="72" x14ac:dyDescent="0.3">
      <c r="A617" s="38" t="s">
        <v>748</v>
      </c>
      <c r="B617" s="20" t="s">
        <v>788</v>
      </c>
      <c r="C617" s="57" t="s">
        <v>917</v>
      </c>
      <c r="D617" s="27" t="s">
        <v>41</v>
      </c>
      <c r="E617" s="68" t="s">
        <v>1731</v>
      </c>
      <c r="F617" s="14" t="s">
        <v>918</v>
      </c>
      <c r="G617" s="68"/>
    </row>
    <row r="618" spans="1:7" ht="72" x14ac:dyDescent="0.3">
      <c r="A618" s="38" t="s">
        <v>748</v>
      </c>
      <c r="B618" s="20" t="s">
        <v>788</v>
      </c>
      <c r="C618" s="57" t="s">
        <v>919</v>
      </c>
      <c r="D618" s="27" t="s">
        <v>45</v>
      </c>
      <c r="E618" s="68" t="s">
        <v>1732</v>
      </c>
      <c r="F618" s="14" t="s">
        <v>918</v>
      </c>
      <c r="G618" s="68"/>
    </row>
    <row r="619" spans="1:7" ht="57.6" x14ac:dyDescent="0.3">
      <c r="A619" s="38" t="s">
        <v>748</v>
      </c>
      <c r="B619" s="20" t="s">
        <v>788</v>
      </c>
      <c r="C619" s="57" t="s">
        <v>920</v>
      </c>
      <c r="D619" s="27" t="s">
        <v>1176</v>
      </c>
      <c r="E619" s="68" t="s">
        <v>1733</v>
      </c>
      <c r="F619" s="14" t="s">
        <v>918</v>
      </c>
      <c r="G619" s="68"/>
    </row>
    <row r="620" spans="1:7" ht="57.6" x14ac:dyDescent="0.3">
      <c r="A620" s="38" t="s">
        <v>748</v>
      </c>
      <c r="B620" s="20" t="s">
        <v>788</v>
      </c>
      <c r="C620" s="57" t="s">
        <v>921</v>
      </c>
      <c r="D620" s="27" t="s">
        <v>1176</v>
      </c>
      <c r="E620" s="68" t="s">
        <v>1734</v>
      </c>
      <c r="F620" s="14" t="s">
        <v>918</v>
      </c>
      <c r="G620" s="68"/>
    </row>
    <row r="621" spans="1:7" ht="100.8" x14ac:dyDescent="0.3">
      <c r="A621" s="38" t="s">
        <v>748</v>
      </c>
      <c r="B621" s="20" t="s">
        <v>788</v>
      </c>
      <c r="C621" s="57" t="s">
        <v>922</v>
      </c>
      <c r="D621" s="27" t="s">
        <v>45</v>
      </c>
      <c r="E621" s="68" t="s">
        <v>1735</v>
      </c>
      <c r="F621" s="14" t="s">
        <v>923</v>
      </c>
      <c r="G621" s="68"/>
    </row>
    <row r="622" spans="1:7" ht="72" x14ac:dyDescent="0.3">
      <c r="A622" s="38" t="s">
        <v>748</v>
      </c>
      <c r="B622" s="20" t="s">
        <v>788</v>
      </c>
      <c r="C622" s="57" t="s">
        <v>924</v>
      </c>
      <c r="D622" s="27" t="s">
        <v>1176</v>
      </c>
      <c r="E622" s="87" t="s">
        <v>1736</v>
      </c>
      <c r="F622" s="14" t="s">
        <v>923</v>
      </c>
      <c r="G622" s="68"/>
    </row>
    <row r="623" spans="1:7" ht="72" x14ac:dyDescent="0.3">
      <c r="A623" s="38" t="s">
        <v>748</v>
      </c>
      <c r="B623" s="20" t="s">
        <v>788</v>
      </c>
      <c r="C623" s="57" t="s">
        <v>925</v>
      </c>
      <c r="D623" s="27" t="s">
        <v>45</v>
      </c>
      <c r="E623" s="68" t="s">
        <v>1737</v>
      </c>
      <c r="F623" s="14" t="s">
        <v>806</v>
      </c>
      <c r="G623" s="68"/>
    </row>
    <row r="624" spans="1:7" ht="57.6" x14ac:dyDescent="0.3">
      <c r="A624" s="38" t="s">
        <v>748</v>
      </c>
      <c r="B624" s="20" t="s">
        <v>788</v>
      </c>
      <c r="C624" s="57" t="s">
        <v>926</v>
      </c>
      <c r="D624" s="27" t="s">
        <v>1176</v>
      </c>
      <c r="E624" s="68" t="s">
        <v>1738</v>
      </c>
      <c r="F624" s="14" t="s">
        <v>806</v>
      </c>
      <c r="G624" s="68"/>
    </row>
    <row r="625" spans="1:7" ht="72" x14ac:dyDescent="0.3">
      <c r="A625" s="38" t="s">
        <v>748</v>
      </c>
      <c r="B625" s="20" t="s">
        <v>788</v>
      </c>
      <c r="C625" s="57" t="s">
        <v>927</v>
      </c>
      <c r="D625" s="27" t="s">
        <v>1176</v>
      </c>
      <c r="E625" s="68" t="s">
        <v>1739</v>
      </c>
      <c r="F625" s="14" t="s">
        <v>806</v>
      </c>
      <c r="G625" s="68"/>
    </row>
    <row r="626" spans="1:7" ht="43.2" x14ac:dyDescent="0.3">
      <c r="A626" s="38" t="s">
        <v>748</v>
      </c>
      <c r="B626" s="20" t="s">
        <v>788</v>
      </c>
      <c r="C626" s="57" t="s">
        <v>928</v>
      </c>
      <c r="D626" s="27" t="s">
        <v>41</v>
      </c>
      <c r="E626" s="68" t="s">
        <v>1740</v>
      </c>
      <c r="F626" s="14" t="s">
        <v>586</v>
      </c>
      <c r="G626" s="68"/>
    </row>
    <row r="627" spans="1:7" ht="57.6" x14ac:dyDescent="0.3">
      <c r="A627" s="38" t="s">
        <v>748</v>
      </c>
      <c r="B627" s="20" t="s">
        <v>788</v>
      </c>
      <c r="C627" s="57" t="s">
        <v>929</v>
      </c>
      <c r="D627" s="27" t="s">
        <v>45</v>
      </c>
      <c r="E627" s="68" t="s">
        <v>1741</v>
      </c>
      <c r="F627" s="14" t="s">
        <v>586</v>
      </c>
      <c r="G627" s="68"/>
    </row>
    <row r="628" spans="1:7" ht="57.6" x14ac:dyDescent="0.3">
      <c r="A628" s="38" t="s">
        <v>748</v>
      </c>
      <c r="B628" s="20" t="s">
        <v>788</v>
      </c>
      <c r="C628" s="57" t="s">
        <v>930</v>
      </c>
      <c r="D628" s="27" t="s">
        <v>1176</v>
      </c>
      <c r="E628" s="68" t="s">
        <v>1742</v>
      </c>
      <c r="F628" s="14" t="s">
        <v>586</v>
      </c>
      <c r="G628" s="68"/>
    </row>
    <row r="629" spans="1:7" ht="57.6" x14ac:dyDescent="0.3">
      <c r="A629" s="38" t="s">
        <v>748</v>
      </c>
      <c r="B629" s="20" t="s">
        <v>788</v>
      </c>
      <c r="C629" s="57" t="s">
        <v>931</v>
      </c>
      <c r="D629" s="27" t="s">
        <v>45</v>
      </c>
      <c r="E629" s="68" t="s">
        <v>1743</v>
      </c>
      <c r="F629" s="14" t="s">
        <v>806</v>
      </c>
      <c r="G629" s="68"/>
    </row>
    <row r="630" spans="1:7" ht="43.2" x14ac:dyDescent="0.3">
      <c r="A630" s="38" t="s">
        <v>748</v>
      </c>
      <c r="B630" s="20" t="s">
        <v>788</v>
      </c>
      <c r="C630" s="57" t="s">
        <v>932</v>
      </c>
      <c r="D630" s="27" t="s">
        <v>1176</v>
      </c>
      <c r="E630" s="68" t="s">
        <v>1744</v>
      </c>
      <c r="F630" s="14" t="s">
        <v>806</v>
      </c>
      <c r="G630" s="68"/>
    </row>
    <row r="631" spans="1:7" ht="43.2" x14ac:dyDescent="0.3">
      <c r="A631" s="38" t="s">
        <v>748</v>
      </c>
      <c r="B631" s="20" t="s">
        <v>788</v>
      </c>
      <c r="C631" s="57" t="s">
        <v>933</v>
      </c>
      <c r="D631" s="27" t="s">
        <v>1176</v>
      </c>
      <c r="E631" s="68" t="s">
        <v>1745</v>
      </c>
      <c r="F631" s="14" t="s">
        <v>806</v>
      </c>
      <c r="G631" s="68"/>
    </row>
    <row r="632" spans="1:7" ht="43.2" x14ac:dyDescent="0.3">
      <c r="A632" s="38" t="s">
        <v>748</v>
      </c>
      <c r="B632" s="20" t="s">
        <v>788</v>
      </c>
      <c r="C632" s="57" t="s">
        <v>934</v>
      </c>
      <c r="D632" s="27" t="s">
        <v>41</v>
      </c>
      <c r="E632" s="68" t="s">
        <v>1746</v>
      </c>
      <c r="F632" s="14" t="s">
        <v>806</v>
      </c>
      <c r="G632" s="68"/>
    </row>
    <row r="633" spans="1:7" ht="57.6" x14ac:dyDescent="0.3">
      <c r="A633" s="38" t="s">
        <v>748</v>
      </c>
      <c r="B633" s="20" t="s">
        <v>788</v>
      </c>
      <c r="C633" s="57" t="s">
        <v>935</v>
      </c>
      <c r="D633" s="27" t="s">
        <v>45</v>
      </c>
      <c r="E633" s="68" t="s">
        <v>1747</v>
      </c>
      <c r="F633" s="14" t="s">
        <v>806</v>
      </c>
      <c r="G633" s="68"/>
    </row>
    <row r="634" spans="1:7" ht="57.6" x14ac:dyDescent="0.3">
      <c r="A634" s="38" t="s">
        <v>748</v>
      </c>
      <c r="B634" s="20" t="s">
        <v>788</v>
      </c>
      <c r="C634" s="57" t="s">
        <v>936</v>
      </c>
      <c r="D634" s="27" t="s">
        <v>1176</v>
      </c>
      <c r="E634" s="68" t="s">
        <v>1748</v>
      </c>
      <c r="F634" s="14" t="s">
        <v>806</v>
      </c>
      <c r="G634" s="68"/>
    </row>
    <row r="635" spans="1:7" ht="57.6" x14ac:dyDescent="0.3">
      <c r="A635" s="38" t="s">
        <v>748</v>
      </c>
      <c r="B635" s="20" t="s">
        <v>788</v>
      </c>
      <c r="C635" s="57" t="s">
        <v>937</v>
      </c>
      <c r="D635" s="27" t="s">
        <v>1176</v>
      </c>
      <c r="E635" s="68" t="s">
        <v>1749</v>
      </c>
      <c r="F635" s="14" t="s">
        <v>806</v>
      </c>
      <c r="G635" s="68"/>
    </row>
    <row r="636" spans="1:7" ht="86.4" x14ac:dyDescent="0.3">
      <c r="A636" s="38" t="s">
        <v>748</v>
      </c>
      <c r="B636" s="20" t="s">
        <v>788</v>
      </c>
      <c r="C636" s="58" t="s">
        <v>938</v>
      </c>
      <c r="D636" s="27" t="s">
        <v>45</v>
      </c>
      <c r="E636" s="68" t="s">
        <v>1750</v>
      </c>
      <c r="F636" s="14" t="s">
        <v>939</v>
      </c>
      <c r="G636" s="68"/>
    </row>
    <row r="637" spans="1:7" ht="57.6" x14ac:dyDescent="0.3">
      <c r="A637" s="38" t="s">
        <v>748</v>
      </c>
      <c r="B637" s="20" t="s">
        <v>788</v>
      </c>
      <c r="C637" s="58" t="s">
        <v>940</v>
      </c>
      <c r="D637" s="27" t="s">
        <v>1176</v>
      </c>
      <c r="E637" s="68" t="s">
        <v>1751</v>
      </c>
      <c r="F637" s="14" t="s">
        <v>939</v>
      </c>
      <c r="G637" s="68"/>
    </row>
    <row r="638" spans="1:7" ht="57.6" x14ac:dyDescent="0.3">
      <c r="A638" s="38" t="s">
        <v>748</v>
      </c>
      <c r="B638" s="20" t="s">
        <v>788</v>
      </c>
      <c r="C638" s="58" t="s">
        <v>941</v>
      </c>
      <c r="D638" s="27" t="s">
        <v>41</v>
      </c>
      <c r="E638" s="68" t="s">
        <v>1752</v>
      </c>
      <c r="F638" s="14" t="s">
        <v>918</v>
      </c>
      <c r="G638" s="68"/>
    </row>
    <row r="639" spans="1:7" ht="57.6" x14ac:dyDescent="0.3">
      <c r="A639" s="38" t="s">
        <v>748</v>
      </c>
      <c r="B639" s="20" t="s">
        <v>788</v>
      </c>
      <c r="C639" s="58" t="s">
        <v>942</v>
      </c>
      <c r="D639" s="27" t="s">
        <v>45</v>
      </c>
      <c r="E639" s="68" t="s">
        <v>1753</v>
      </c>
      <c r="F639" s="14" t="s">
        <v>939</v>
      </c>
      <c r="G639" s="68"/>
    </row>
    <row r="640" spans="1:7" ht="57.6" x14ac:dyDescent="0.3">
      <c r="A640" s="38" t="s">
        <v>748</v>
      </c>
      <c r="B640" s="20" t="s">
        <v>788</v>
      </c>
      <c r="C640" s="58" t="s">
        <v>943</v>
      </c>
      <c r="D640" s="27" t="s">
        <v>1176</v>
      </c>
      <c r="E640" s="68" t="s">
        <v>1754</v>
      </c>
      <c r="F640" s="14" t="s">
        <v>939</v>
      </c>
      <c r="G640" s="68"/>
    </row>
    <row r="641" spans="1:7" ht="57.6" x14ac:dyDescent="0.3">
      <c r="A641" s="38" t="s">
        <v>748</v>
      </c>
      <c r="B641" s="20" t="s">
        <v>788</v>
      </c>
      <c r="C641" s="58" t="s">
        <v>944</v>
      </c>
      <c r="D641" s="27" t="s">
        <v>45</v>
      </c>
      <c r="E641" s="68" t="s">
        <v>1755</v>
      </c>
      <c r="F641" s="14" t="s">
        <v>806</v>
      </c>
      <c r="G641" s="68"/>
    </row>
    <row r="642" spans="1:7" ht="43.2" x14ac:dyDescent="0.3">
      <c r="A642" s="38" t="s">
        <v>748</v>
      </c>
      <c r="B642" s="20" t="s">
        <v>788</v>
      </c>
      <c r="C642" s="58" t="s">
        <v>945</v>
      </c>
      <c r="D642" s="27" t="s">
        <v>1176</v>
      </c>
      <c r="E642" s="68" t="s">
        <v>1756</v>
      </c>
      <c r="F642" s="14" t="s">
        <v>806</v>
      </c>
      <c r="G642" s="68"/>
    </row>
    <row r="643" spans="1:7" ht="57.6" x14ac:dyDescent="0.3">
      <c r="A643" s="38" t="s">
        <v>748</v>
      </c>
      <c r="B643" s="20" t="s">
        <v>788</v>
      </c>
      <c r="C643" s="58" t="s">
        <v>946</v>
      </c>
      <c r="D643" s="27" t="s">
        <v>1176</v>
      </c>
      <c r="E643" s="68" t="s">
        <v>1757</v>
      </c>
      <c r="F643" s="14" t="s">
        <v>806</v>
      </c>
      <c r="G643" s="68"/>
    </row>
    <row r="644" spans="1:7" ht="72" x14ac:dyDescent="0.3">
      <c r="A644" s="38" t="s">
        <v>748</v>
      </c>
      <c r="B644" s="20" t="s">
        <v>788</v>
      </c>
      <c r="C644" s="58" t="s">
        <v>947</v>
      </c>
      <c r="D644" s="27" t="s">
        <v>1176</v>
      </c>
      <c r="E644" s="68" t="s">
        <v>1758</v>
      </c>
      <c r="F644" s="14" t="s">
        <v>939</v>
      </c>
      <c r="G644" s="68"/>
    </row>
    <row r="645" spans="1:7" ht="72" x14ac:dyDescent="0.3">
      <c r="A645" s="38" t="s">
        <v>748</v>
      </c>
      <c r="B645" s="20" t="s">
        <v>788</v>
      </c>
      <c r="C645" s="58" t="s">
        <v>948</v>
      </c>
      <c r="D645" s="27" t="s">
        <v>45</v>
      </c>
      <c r="E645" s="68" t="s">
        <v>1759</v>
      </c>
      <c r="F645" s="14" t="s">
        <v>949</v>
      </c>
      <c r="G645" s="68"/>
    </row>
    <row r="646" spans="1:7" ht="57.6" x14ac:dyDescent="0.3">
      <c r="A646" s="38" t="s">
        <v>748</v>
      </c>
      <c r="B646" s="20" t="s">
        <v>788</v>
      </c>
      <c r="C646" s="58" t="s">
        <v>950</v>
      </c>
      <c r="D646" s="27" t="s">
        <v>1176</v>
      </c>
      <c r="E646" s="68" t="s">
        <v>1760</v>
      </c>
      <c r="F646" s="14" t="s">
        <v>949</v>
      </c>
      <c r="G646" s="68"/>
    </row>
    <row r="647" spans="1:7" ht="57.6" x14ac:dyDescent="0.3">
      <c r="A647" s="38" t="s">
        <v>748</v>
      </c>
      <c r="B647" s="20" t="s">
        <v>788</v>
      </c>
      <c r="C647" s="58" t="s">
        <v>951</v>
      </c>
      <c r="D647" s="27" t="s">
        <v>45</v>
      </c>
      <c r="E647" s="68" t="s">
        <v>1761</v>
      </c>
      <c r="F647" s="14" t="s">
        <v>952</v>
      </c>
      <c r="G647" s="68"/>
    </row>
    <row r="648" spans="1:7" ht="43.2" x14ac:dyDescent="0.3">
      <c r="A648" s="38" t="s">
        <v>748</v>
      </c>
      <c r="B648" s="20" t="s">
        <v>788</v>
      </c>
      <c r="C648" s="58" t="s">
        <v>953</v>
      </c>
      <c r="D648" s="27" t="s">
        <v>1176</v>
      </c>
      <c r="E648" s="68" t="s">
        <v>1762</v>
      </c>
      <c r="F648" s="14" t="s">
        <v>952</v>
      </c>
      <c r="G648" s="68"/>
    </row>
    <row r="649" spans="1:7" ht="57.6" x14ac:dyDescent="0.3">
      <c r="A649" s="38" t="s">
        <v>748</v>
      </c>
      <c r="B649" s="20" t="s">
        <v>788</v>
      </c>
      <c r="C649" s="58" t="s">
        <v>954</v>
      </c>
      <c r="D649" s="27" t="s">
        <v>1176</v>
      </c>
      <c r="E649" s="68" t="s">
        <v>1763</v>
      </c>
      <c r="F649" s="68" t="s">
        <v>669</v>
      </c>
      <c r="G649" s="68"/>
    </row>
    <row r="650" spans="1:7" ht="72" x14ac:dyDescent="0.3">
      <c r="A650" s="38" t="s">
        <v>748</v>
      </c>
      <c r="B650" s="20" t="s">
        <v>788</v>
      </c>
      <c r="C650" s="57" t="s">
        <v>955</v>
      </c>
      <c r="D650" s="27" t="s">
        <v>41</v>
      </c>
      <c r="E650" s="68" t="s">
        <v>1764</v>
      </c>
      <c r="F650" s="14" t="s">
        <v>939</v>
      </c>
      <c r="G650" s="68"/>
    </row>
    <row r="651" spans="1:7" ht="72" x14ac:dyDescent="0.3">
      <c r="A651" s="38" t="s">
        <v>748</v>
      </c>
      <c r="B651" s="20" t="s">
        <v>788</v>
      </c>
      <c r="C651" s="57" t="s">
        <v>956</v>
      </c>
      <c r="D651" s="27" t="s">
        <v>45</v>
      </c>
      <c r="E651" s="68" t="s">
        <v>1765</v>
      </c>
      <c r="F651" s="14" t="s">
        <v>939</v>
      </c>
      <c r="G651" s="68"/>
    </row>
    <row r="652" spans="1:7" ht="86.4" x14ac:dyDescent="0.3">
      <c r="A652" s="38" t="s">
        <v>748</v>
      </c>
      <c r="B652" s="20" t="s">
        <v>788</v>
      </c>
      <c r="C652" s="57" t="s">
        <v>957</v>
      </c>
      <c r="D652" s="27" t="s">
        <v>1176</v>
      </c>
      <c r="E652" s="68" t="s">
        <v>1766</v>
      </c>
      <c r="F652" s="14" t="s">
        <v>939</v>
      </c>
      <c r="G652" s="68"/>
    </row>
    <row r="653" spans="1:7" ht="72" x14ac:dyDescent="0.3">
      <c r="A653" s="38" t="s">
        <v>748</v>
      </c>
      <c r="B653" s="20" t="s">
        <v>788</v>
      </c>
      <c r="C653" s="57" t="s">
        <v>958</v>
      </c>
      <c r="D653" s="27" t="s">
        <v>45</v>
      </c>
      <c r="E653" s="68" t="s">
        <v>1767</v>
      </c>
      <c r="F653" s="14" t="s">
        <v>939</v>
      </c>
      <c r="G653" s="68"/>
    </row>
    <row r="654" spans="1:7" ht="57.6" x14ac:dyDescent="0.3">
      <c r="A654" s="38" t="s">
        <v>748</v>
      </c>
      <c r="B654" s="20" t="s">
        <v>788</v>
      </c>
      <c r="C654" s="57" t="s">
        <v>959</v>
      </c>
      <c r="D654" s="27" t="s">
        <v>1176</v>
      </c>
      <c r="E654" s="68" t="s">
        <v>1768</v>
      </c>
      <c r="F654" s="14" t="s">
        <v>939</v>
      </c>
      <c r="G654" s="68"/>
    </row>
    <row r="655" spans="1:7" ht="72" x14ac:dyDescent="0.3">
      <c r="A655" s="38" t="s">
        <v>748</v>
      </c>
      <c r="B655" s="20" t="s">
        <v>788</v>
      </c>
      <c r="C655" s="57" t="s">
        <v>960</v>
      </c>
      <c r="D655" s="27" t="s">
        <v>45</v>
      </c>
      <c r="E655" s="68" t="s">
        <v>1769</v>
      </c>
      <c r="F655" s="68" t="s">
        <v>1309</v>
      </c>
      <c r="G655" s="68"/>
    </row>
    <row r="656" spans="1:7" ht="72" x14ac:dyDescent="0.3">
      <c r="A656" s="38" t="s">
        <v>748</v>
      </c>
      <c r="B656" s="20" t="s">
        <v>788</v>
      </c>
      <c r="C656" s="57" t="s">
        <v>961</v>
      </c>
      <c r="D656" s="27" t="s">
        <v>1176</v>
      </c>
      <c r="E656" s="68" t="s">
        <v>1770</v>
      </c>
      <c r="F656" s="68" t="s">
        <v>1309</v>
      </c>
      <c r="G656" s="68"/>
    </row>
    <row r="657" spans="1:7" ht="43.2" x14ac:dyDescent="0.3">
      <c r="A657" s="38" t="s">
        <v>748</v>
      </c>
      <c r="B657" s="20" t="s">
        <v>788</v>
      </c>
      <c r="C657" s="57" t="s">
        <v>962</v>
      </c>
      <c r="D657" s="27" t="s">
        <v>45</v>
      </c>
      <c r="E657" s="68" t="s">
        <v>1771</v>
      </c>
      <c r="F657" s="14" t="s">
        <v>806</v>
      </c>
      <c r="G657" s="68"/>
    </row>
    <row r="658" spans="1:7" ht="28.8" x14ac:dyDescent="0.3">
      <c r="A658" s="38" t="s">
        <v>748</v>
      </c>
      <c r="B658" s="20" t="s">
        <v>788</v>
      </c>
      <c r="C658" s="57" t="s">
        <v>963</v>
      </c>
      <c r="D658" s="27" t="s">
        <v>1176</v>
      </c>
      <c r="E658" s="68" t="s">
        <v>1772</v>
      </c>
      <c r="F658" s="14" t="s">
        <v>806</v>
      </c>
      <c r="G658" s="68"/>
    </row>
    <row r="659" spans="1:7" ht="57.6" x14ac:dyDescent="0.3">
      <c r="A659" s="38" t="s">
        <v>748</v>
      </c>
      <c r="B659" s="20" t="s">
        <v>788</v>
      </c>
      <c r="C659" s="57" t="s">
        <v>964</v>
      </c>
      <c r="D659" s="27" t="s">
        <v>45</v>
      </c>
      <c r="E659" s="68" t="s">
        <v>1773</v>
      </c>
      <c r="F659" s="14" t="s">
        <v>806</v>
      </c>
      <c r="G659" s="68"/>
    </row>
    <row r="660" spans="1:7" ht="43.2" x14ac:dyDescent="0.3">
      <c r="A660" s="38" t="s">
        <v>748</v>
      </c>
      <c r="B660" s="20" t="s">
        <v>788</v>
      </c>
      <c r="C660" s="57" t="s">
        <v>965</v>
      </c>
      <c r="D660" s="27" t="s">
        <v>1176</v>
      </c>
      <c r="E660" s="68" t="s">
        <v>1774</v>
      </c>
      <c r="F660" s="14" t="s">
        <v>806</v>
      </c>
      <c r="G660" s="68"/>
    </row>
    <row r="661" spans="1:7" ht="72" x14ac:dyDescent="0.3">
      <c r="A661" s="38" t="s">
        <v>748</v>
      </c>
      <c r="B661" s="20" t="s">
        <v>788</v>
      </c>
      <c r="C661" s="57" t="s">
        <v>966</v>
      </c>
      <c r="D661" s="27" t="s">
        <v>45</v>
      </c>
      <c r="E661" s="68" t="s">
        <v>1775</v>
      </c>
      <c r="F661" s="14" t="s">
        <v>806</v>
      </c>
      <c r="G661" s="68"/>
    </row>
    <row r="662" spans="1:7" ht="72" x14ac:dyDescent="0.3">
      <c r="A662" s="38" t="s">
        <v>748</v>
      </c>
      <c r="B662" s="20" t="s">
        <v>788</v>
      </c>
      <c r="C662" s="57" t="s">
        <v>967</v>
      </c>
      <c r="D662" s="27" t="s">
        <v>1176</v>
      </c>
      <c r="E662" s="68" t="s">
        <v>1776</v>
      </c>
      <c r="F662" s="14" t="s">
        <v>806</v>
      </c>
      <c r="G662" s="68"/>
    </row>
    <row r="663" spans="1:7" ht="57.6" x14ac:dyDescent="0.3">
      <c r="A663" s="38" t="s">
        <v>748</v>
      </c>
      <c r="B663" s="20" t="s">
        <v>788</v>
      </c>
      <c r="C663" s="57" t="s">
        <v>968</v>
      </c>
      <c r="D663" s="27" t="s">
        <v>45</v>
      </c>
      <c r="E663" s="68" t="s">
        <v>1777</v>
      </c>
      <c r="F663" s="14" t="s">
        <v>806</v>
      </c>
      <c r="G663" s="68"/>
    </row>
    <row r="664" spans="1:7" ht="57.6" x14ac:dyDescent="0.3">
      <c r="A664" s="38" t="s">
        <v>748</v>
      </c>
      <c r="B664" s="20" t="s">
        <v>788</v>
      </c>
      <c r="C664" s="57" t="s">
        <v>969</v>
      </c>
      <c r="D664" s="27" t="s">
        <v>1176</v>
      </c>
      <c r="E664" s="68" t="s">
        <v>1778</v>
      </c>
      <c r="F664" s="14" t="s">
        <v>806</v>
      </c>
      <c r="G664" s="68"/>
    </row>
    <row r="665" spans="1:7" ht="57.6" x14ac:dyDescent="0.3">
      <c r="A665" s="38" t="s">
        <v>748</v>
      </c>
      <c r="B665" s="20" t="s">
        <v>788</v>
      </c>
      <c r="C665" s="57" t="s">
        <v>970</v>
      </c>
      <c r="D665" s="27" t="s">
        <v>1176</v>
      </c>
      <c r="E665" s="87" t="s">
        <v>1779</v>
      </c>
      <c r="F665" s="14" t="s">
        <v>806</v>
      </c>
      <c r="G665" s="68"/>
    </row>
    <row r="666" spans="1:7" ht="100.8" x14ac:dyDescent="0.3">
      <c r="A666" s="38" t="s">
        <v>748</v>
      </c>
      <c r="B666" s="20" t="s">
        <v>788</v>
      </c>
      <c r="C666" s="57" t="s">
        <v>971</v>
      </c>
      <c r="D666" s="27" t="s">
        <v>45</v>
      </c>
      <c r="E666" s="68" t="s">
        <v>1780</v>
      </c>
      <c r="F666" s="14" t="s">
        <v>806</v>
      </c>
      <c r="G666" s="68"/>
    </row>
    <row r="667" spans="1:7" ht="86.4" x14ac:dyDescent="0.3">
      <c r="A667" s="38" t="s">
        <v>748</v>
      </c>
      <c r="B667" s="20" t="s">
        <v>788</v>
      </c>
      <c r="C667" s="57" t="s">
        <v>972</v>
      </c>
      <c r="D667" s="27" t="s">
        <v>1176</v>
      </c>
      <c r="E667" s="68" t="s">
        <v>1781</v>
      </c>
      <c r="F667" s="14" t="s">
        <v>806</v>
      </c>
      <c r="G667" s="68"/>
    </row>
    <row r="668" spans="1:7" ht="100.8" x14ac:dyDescent="0.3">
      <c r="A668" s="38" t="s">
        <v>748</v>
      </c>
      <c r="B668" s="20" t="s">
        <v>788</v>
      </c>
      <c r="C668" s="57" t="s">
        <v>973</v>
      </c>
      <c r="D668" s="27" t="s">
        <v>45</v>
      </c>
      <c r="E668" s="68" t="s">
        <v>1782</v>
      </c>
      <c r="F668" s="14" t="s">
        <v>806</v>
      </c>
      <c r="G668" s="68"/>
    </row>
    <row r="669" spans="1:7" ht="57.6" x14ac:dyDescent="0.3">
      <c r="A669" s="38" t="s">
        <v>748</v>
      </c>
      <c r="B669" s="20" t="s">
        <v>788</v>
      </c>
      <c r="C669" s="57" t="s">
        <v>974</v>
      </c>
      <c r="D669" s="27" t="s">
        <v>1176</v>
      </c>
      <c r="E669" s="68" t="s">
        <v>1783</v>
      </c>
      <c r="F669" s="14" t="s">
        <v>806</v>
      </c>
      <c r="G669" s="68"/>
    </row>
    <row r="670" spans="1:7" ht="57.6" x14ac:dyDescent="0.3">
      <c r="A670" s="38" t="s">
        <v>748</v>
      </c>
      <c r="B670" s="20" t="s">
        <v>788</v>
      </c>
      <c r="C670" s="57" t="s">
        <v>975</v>
      </c>
      <c r="D670" s="27" t="s">
        <v>45</v>
      </c>
      <c r="E670" s="68" t="s">
        <v>1784</v>
      </c>
      <c r="F670" s="14" t="s">
        <v>939</v>
      </c>
      <c r="G670" s="68"/>
    </row>
    <row r="671" spans="1:7" ht="57.6" x14ac:dyDescent="0.3">
      <c r="A671" s="38" t="s">
        <v>748</v>
      </c>
      <c r="B671" s="20" t="s">
        <v>788</v>
      </c>
      <c r="C671" s="57" t="s">
        <v>976</v>
      </c>
      <c r="D671" s="27" t="s">
        <v>1176</v>
      </c>
      <c r="E671" s="68" t="s">
        <v>1785</v>
      </c>
      <c r="F671" s="14" t="s">
        <v>977</v>
      </c>
      <c r="G671" s="68"/>
    </row>
    <row r="672" spans="1:7" ht="57.6" x14ac:dyDescent="0.3">
      <c r="A672" s="38" t="s">
        <v>748</v>
      </c>
      <c r="B672" s="20" t="s">
        <v>788</v>
      </c>
      <c r="C672" s="57" t="s">
        <v>978</v>
      </c>
      <c r="D672" s="27" t="s">
        <v>45</v>
      </c>
      <c r="E672" s="68" t="s">
        <v>1786</v>
      </c>
      <c r="F672" s="14" t="s">
        <v>939</v>
      </c>
      <c r="G672" s="68"/>
    </row>
    <row r="673" spans="1:7" ht="57.6" x14ac:dyDescent="0.3">
      <c r="A673" s="38" t="s">
        <v>748</v>
      </c>
      <c r="B673" s="20" t="s">
        <v>788</v>
      </c>
      <c r="C673" s="57" t="s">
        <v>979</v>
      </c>
      <c r="D673" s="27" t="s">
        <v>1176</v>
      </c>
      <c r="E673" s="68" t="s">
        <v>1787</v>
      </c>
      <c r="F673" s="14" t="s">
        <v>939</v>
      </c>
      <c r="G673" s="68"/>
    </row>
    <row r="674" spans="1:7" ht="57.6" x14ac:dyDescent="0.3">
      <c r="A674" s="38" t="s">
        <v>748</v>
      </c>
      <c r="B674" s="20" t="s">
        <v>788</v>
      </c>
      <c r="C674" s="57" t="s">
        <v>980</v>
      </c>
      <c r="D674" s="27" t="s">
        <v>45</v>
      </c>
      <c r="E674" s="14" t="s">
        <v>981</v>
      </c>
      <c r="F674" s="14" t="s">
        <v>939</v>
      </c>
      <c r="G674" s="68"/>
    </row>
    <row r="675" spans="1:7" ht="57.6" x14ac:dyDescent="0.3">
      <c r="A675" s="38" t="s">
        <v>748</v>
      </c>
      <c r="B675" s="20" t="s">
        <v>788</v>
      </c>
      <c r="C675" s="57" t="s">
        <v>982</v>
      </c>
      <c r="D675" s="27" t="s">
        <v>1176</v>
      </c>
      <c r="E675" s="14" t="s">
        <v>983</v>
      </c>
      <c r="F675" s="14" t="s">
        <v>984</v>
      </c>
      <c r="G675" s="68"/>
    </row>
    <row r="676" spans="1:7" ht="43.2" x14ac:dyDescent="0.3">
      <c r="A676" s="38" t="s">
        <v>748</v>
      </c>
      <c r="B676" s="20" t="s">
        <v>788</v>
      </c>
      <c r="C676" s="57" t="s">
        <v>985</v>
      </c>
      <c r="D676" s="27" t="s">
        <v>45</v>
      </c>
      <c r="E676" s="14" t="s">
        <v>986</v>
      </c>
      <c r="F676" s="14" t="s">
        <v>984</v>
      </c>
      <c r="G676" s="68"/>
    </row>
    <row r="677" spans="1:7" ht="57.6" x14ac:dyDescent="0.3">
      <c r="A677" s="38" t="s">
        <v>748</v>
      </c>
      <c r="B677" s="20" t="s">
        <v>788</v>
      </c>
      <c r="C677" s="57" t="s">
        <v>987</v>
      </c>
      <c r="D677" s="27" t="s">
        <v>1176</v>
      </c>
      <c r="E677" s="14" t="s">
        <v>988</v>
      </c>
      <c r="F677" s="14" t="s">
        <v>984</v>
      </c>
      <c r="G677" s="68"/>
    </row>
    <row r="678" spans="1:7" ht="57.6" x14ac:dyDescent="0.3">
      <c r="A678" s="38" t="s">
        <v>748</v>
      </c>
      <c r="B678" s="20" t="s">
        <v>788</v>
      </c>
      <c r="C678" s="57" t="s">
        <v>989</v>
      </c>
      <c r="D678" s="27" t="s">
        <v>1176</v>
      </c>
      <c r="E678" s="14" t="s">
        <v>990</v>
      </c>
      <c r="F678" s="14" t="s">
        <v>984</v>
      </c>
      <c r="G678" s="68"/>
    </row>
    <row r="679" spans="1:7" ht="57.6" x14ac:dyDescent="0.3">
      <c r="A679" s="38" t="s">
        <v>748</v>
      </c>
      <c r="B679" s="20" t="s">
        <v>788</v>
      </c>
      <c r="C679" s="57" t="s">
        <v>991</v>
      </c>
      <c r="D679" s="27" t="s">
        <v>45</v>
      </c>
      <c r="E679" s="14" t="s">
        <v>992</v>
      </c>
      <c r="F679" s="14" t="s">
        <v>939</v>
      </c>
      <c r="G679" s="68"/>
    </row>
    <row r="680" spans="1:7" ht="57.6" x14ac:dyDescent="0.3">
      <c r="A680" s="38" t="s">
        <v>748</v>
      </c>
      <c r="B680" s="20" t="s">
        <v>788</v>
      </c>
      <c r="C680" s="57" t="s">
        <v>993</v>
      </c>
      <c r="D680" s="27" t="s">
        <v>1176</v>
      </c>
      <c r="E680" s="14" t="s">
        <v>994</v>
      </c>
      <c r="F680" s="14" t="s">
        <v>984</v>
      </c>
      <c r="G680" s="68"/>
    </row>
    <row r="681" spans="1:7" ht="43.2" x14ac:dyDescent="0.3">
      <c r="A681" s="38" t="s">
        <v>748</v>
      </c>
      <c r="B681" s="20" t="s">
        <v>788</v>
      </c>
      <c r="C681" s="57" t="s">
        <v>995</v>
      </c>
      <c r="D681" s="27" t="s">
        <v>1176</v>
      </c>
      <c r="E681" s="14" t="s">
        <v>996</v>
      </c>
      <c r="F681" s="14" t="s">
        <v>939</v>
      </c>
      <c r="G681" s="68"/>
    </row>
    <row r="682" spans="1:7" ht="43.2" x14ac:dyDescent="0.3">
      <c r="A682" s="38" t="s">
        <v>748</v>
      </c>
      <c r="B682" s="20" t="s">
        <v>788</v>
      </c>
      <c r="C682" s="57" t="s">
        <v>997</v>
      </c>
      <c r="D682" s="27" t="s">
        <v>1176</v>
      </c>
      <c r="E682" s="87" t="s">
        <v>1788</v>
      </c>
      <c r="F682" s="14" t="s">
        <v>939</v>
      </c>
      <c r="G682" s="68"/>
    </row>
    <row r="683" spans="1:7" ht="43.2" x14ac:dyDescent="0.3">
      <c r="A683" s="38" t="s">
        <v>748</v>
      </c>
      <c r="B683" s="20" t="s">
        <v>788</v>
      </c>
      <c r="C683" s="57" t="s">
        <v>998</v>
      </c>
      <c r="D683" s="27" t="s">
        <v>41</v>
      </c>
      <c r="E683" s="14" t="s">
        <v>999</v>
      </c>
      <c r="F683" s="68" t="s">
        <v>1310</v>
      </c>
      <c r="G683" s="68"/>
    </row>
    <row r="684" spans="1:7" ht="57.6" x14ac:dyDescent="0.3">
      <c r="A684" s="38" t="s">
        <v>748</v>
      </c>
      <c r="B684" s="20" t="s">
        <v>788</v>
      </c>
      <c r="C684" s="57" t="s">
        <v>1000</v>
      </c>
      <c r="D684" s="27" t="s">
        <v>45</v>
      </c>
      <c r="E684" s="14" t="s">
        <v>1001</v>
      </c>
      <c r="F684" s="68" t="s">
        <v>1310</v>
      </c>
      <c r="G684" s="68"/>
    </row>
    <row r="685" spans="1:7" ht="57.6" x14ac:dyDescent="0.3">
      <c r="A685" s="38" t="s">
        <v>748</v>
      </c>
      <c r="B685" s="20" t="s">
        <v>788</v>
      </c>
      <c r="C685" s="57" t="s">
        <v>1002</v>
      </c>
      <c r="D685" s="27" t="s">
        <v>1176</v>
      </c>
      <c r="E685" s="14" t="s">
        <v>1003</v>
      </c>
      <c r="F685" s="68" t="s">
        <v>1310</v>
      </c>
      <c r="G685" s="68"/>
    </row>
    <row r="686" spans="1:7" ht="57.6" x14ac:dyDescent="0.3">
      <c r="A686" s="38" t="s">
        <v>748</v>
      </c>
      <c r="B686" s="20" t="s">
        <v>788</v>
      </c>
      <c r="C686" s="57" t="s">
        <v>1004</v>
      </c>
      <c r="D686" s="27" t="s">
        <v>1176</v>
      </c>
      <c r="E686" s="14" t="s">
        <v>1005</v>
      </c>
      <c r="F686" s="68" t="s">
        <v>1310</v>
      </c>
      <c r="G686" s="68"/>
    </row>
    <row r="687" spans="1:7" ht="43.2" x14ac:dyDescent="0.3">
      <c r="A687" s="38" t="s">
        <v>748</v>
      </c>
      <c r="B687" s="20" t="s">
        <v>788</v>
      </c>
      <c r="C687" s="57" t="s">
        <v>1006</v>
      </c>
      <c r="D687" s="27" t="s">
        <v>41</v>
      </c>
      <c r="E687" s="14" t="s">
        <v>1007</v>
      </c>
      <c r="F687" s="14" t="s">
        <v>806</v>
      </c>
      <c r="G687" s="68"/>
    </row>
    <row r="688" spans="1:7" ht="43.2" x14ac:dyDescent="0.3">
      <c r="A688" s="38" t="s">
        <v>748</v>
      </c>
      <c r="B688" s="20" t="s">
        <v>788</v>
      </c>
      <c r="C688" s="57" t="s">
        <v>1008</v>
      </c>
      <c r="D688" s="27" t="s">
        <v>41</v>
      </c>
      <c r="E688" s="14" t="s">
        <v>1009</v>
      </c>
      <c r="F688" s="14" t="s">
        <v>1010</v>
      </c>
      <c r="G688" s="68"/>
    </row>
    <row r="689" spans="1:7" ht="57.6" x14ac:dyDescent="0.3">
      <c r="A689" s="38" t="s">
        <v>748</v>
      </c>
      <c r="B689" s="20" t="s">
        <v>788</v>
      </c>
      <c r="C689" s="57" t="s">
        <v>1011</v>
      </c>
      <c r="D689" s="27" t="s">
        <v>45</v>
      </c>
      <c r="E689" s="14" t="s">
        <v>1012</v>
      </c>
      <c r="F689" s="14" t="s">
        <v>806</v>
      </c>
      <c r="G689" s="68"/>
    </row>
    <row r="690" spans="1:7" ht="57.6" x14ac:dyDescent="0.3">
      <c r="A690" s="38" t="s">
        <v>748</v>
      </c>
      <c r="B690" s="20" t="s">
        <v>788</v>
      </c>
      <c r="C690" s="57" t="s">
        <v>1013</v>
      </c>
      <c r="D690" s="27" t="s">
        <v>1176</v>
      </c>
      <c r="E690" s="14" t="s">
        <v>1014</v>
      </c>
      <c r="F690" s="14" t="s">
        <v>806</v>
      </c>
      <c r="G690" s="68"/>
    </row>
    <row r="691" spans="1:7" ht="57.6" x14ac:dyDescent="0.3">
      <c r="A691" s="38" t="s">
        <v>748</v>
      </c>
      <c r="B691" s="20" t="s">
        <v>788</v>
      </c>
      <c r="C691" s="57" t="s">
        <v>1015</v>
      </c>
      <c r="D691" s="27" t="s">
        <v>1176</v>
      </c>
      <c r="E691" s="14" t="s">
        <v>1016</v>
      </c>
      <c r="F691" s="14" t="s">
        <v>1017</v>
      </c>
      <c r="G691" s="68"/>
    </row>
    <row r="692" spans="1:7" ht="57.6" x14ac:dyDescent="0.3">
      <c r="A692" s="38" t="s">
        <v>748</v>
      </c>
      <c r="B692" s="20" t="s">
        <v>788</v>
      </c>
      <c r="C692" s="49" t="s">
        <v>1018</v>
      </c>
      <c r="D692" s="27" t="s">
        <v>45</v>
      </c>
      <c r="E692" s="14" t="s">
        <v>1019</v>
      </c>
      <c r="F692" s="68" t="s">
        <v>1311</v>
      </c>
      <c r="G692" s="68"/>
    </row>
    <row r="693" spans="1:7" ht="43.2" x14ac:dyDescent="0.3">
      <c r="A693" s="38" t="s">
        <v>748</v>
      </c>
      <c r="B693" s="20" t="s">
        <v>788</v>
      </c>
      <c r="C693" s="49" t="s">
        <v>1020</v>
      </c>
      <c r="D693" s="27" t="s">
        <v>1176</v>
      </c>
      <c r="E693" s="14" t="s">
        <v>1021</v>
      </c>
      <c r="F693" s="68" t="s">
        <v>1311</v>
      </c>
      <c r="G693" s="68"/>
    </row>
    <row r="694" spans="1:7" ht="57.6" x14ac:dyDescent="0.3">
      <c r="A694" s="38" t="s">
        <v>748</v>
      </c>
      <c r="B694" s="20" t="s">
        <v>788</v>
      </c>
      <c r="C694" s="49" t="s">
        <v>1022</v>
      </c>
      <c r="D694" s="27" t="s">
        <v>1176</v>
      </c>
      <c r="E694" s="14" t="s">
        <v>1023</v>
      </c>
      <c r="F694" s="14" t="s">
        <v>806</v>
      </c>
      <c r="G694" s="68"/>
    </row>
    <row r="695" spans="1:7" ht="86.4" x14ac:dyDescent="0.3">
      <c r="A695" s="38" t="s">
        <v>748</v>
      </c>
      <c r="B695" s="20" t="s">
        <v>788</v>
      </c>
      <c r="C695" s="49" t="s">
        <v>1024</v>
      </c>
      <c r="D695" s="27" t="s">
        <v>45</v>
      </c>
      <c r="E695" s="14" t="s">
        <v>1025</v>
      </c>
      <c r="F695" s="68" t="s">
        <v>1311</v>
      </c>
      <c r="G695" s="68"/>
    </row>
    <row r="696" spans="1:7" ht="86.4" x14ac:dyDescent="0.3">
      <c r="A696" s="38" t="s">
        <v>748</v>
      </c>
      <c r="B696" s="20" t="s">
        <v>788</v>
      </c>
      <c r="C696" s="49" t="s">
        <v>1026</v>
      </c>
      <c r="D696" s="27" t="s">
        <v>1176</v>
      </c>
      <c r="E696" s="14" t="s">
        <v>1027</v>
      </c>
      <c r="F696" s="68" t="s">
        <v>1311</v>
      </c>
      <c r="G696" s="68"/>
    </row>
    <row r="697" spans="1:7" ht="43.2" x14ac:dyDescent="0.3">
      <c r="A697" s="38" t="s">
        <v>748</v>
      </c>
      <c r="B697" s="20" t="s">
        <v>788</v>
      </c>
      <c r="C697" s="49" t="s">
        <v>1028</v>
      </c>
      <c r="D697" s="27" t="s">
        <v>41</v>
      </c>
      <c r="E697" s="68" t="s">
        <v>1789</v>
      </c>
      <c r="F697" s="14" t="s">
        <v>1029</v>
      </c>
      <c r="G697" s="68"/>
    </row>
    <row r="698" spans="1:7" ht="86.4" x14ac:dyDescent="0.3">
      <c r="A698" s="38" t="s">
        <v>748</v>
      </c>
      <c r="B698" s="20" t="s">
        <v>788</v>
      </c>
      <c r="C698" s="49" t="s">
        <v>1030</v>
      </c>
      <c r="D698" s="27" t="s">
        <v>45</v>
      </c>
      <c r="E698" s="68" t="s">
        <v>1790</v>
      </c>
      <c r="F698" s="14" t="s">
        <v>1029</v>
      </c>
      <c r="G698" s="68"/>
    </row>
    <row r="699" spans="1:7" ht="57.6" x14ac:dyDescent="0.3">
      <c r="A699" s="38" t="s">
        <v>748</v>
      </c>
      <c r="B699" s="20" t="s">
        <v>788</v>
      </c>
      <c r="C699" s="49" t="s">
        <v>1031</v>
      </c>
      <c r="D699" s="27" t="s">
        <v>1176</v>
      </c>
      <c r="E699" s="68" t="s">
        <v>1791</v>
      </c>
      <c r="F699" s="14" t="s">
        <v>1029</v>
      </c>
      <c r="G699" s="68"/>
    </row>
    <row r="700" spans="1:7" ht="43.2" x14ac:dyDescent="0.3">
      <c r="A700" s="38" t="s">
        <v>748</v>
      </c>
      <c r="B700" s="20" t="s">
        <v>788</v>
      </c>
      <c r="C700" s="49" t="s">
        <v>1032</v>
      </c>
      <c r="D700" s="27" t="s">
        <v>1176</v>
      </c>
      <c r="E700" s="68" t="s">
        <v>1792</v>
      </c>
      <c r="F700" s="14" t="s">
        <v>1029</v>
      </c>
      <c r="G700" s="68"/>
    </row>
    <row r="701" spans="1:7" ht="57.6" x14ac:dyDescent="0.3">
      <c r="A701" s="38" t="s">
        <v>748</v>
      </c>
      <c r="B701" s="20" t="s">
        <v>788</v>
      </c>
      <c r="C701" s="49" t="s">
        <v>1033</v>
      </c>
      <c r="D701" s="27" t="s">
        <v>41</v>
      </c>
      <c r="E701" s="68" t="s">
        <v>1793</v>
      </c>
      <c r="F701" s="14" t="s">
        <v>1029</v>
      </c>
      <c r="G701" s="68"/>
    </row>
    <row r="702" spans="1:7" ht="57.6" x14ac:dyDescent="0.3">
      <c r="A702" s="38" t="s">
        <v>748</v>
      </c>
      <c r="B702" s="20" t="s">
        <v>788</v>
      </c>
      <c r="C702" s="49" t="s">
        <v>1034</v>
      </c>
      <c r="D702" s="27" t="s">
        <v>45</v>
      </c>
      <c r="E702" s="68" t="s">
        <v>1794</v>
      </c>
      <c r="F702" s="14" t="s">
        <v>1029</v>
      </c>
      <c r="G702" s="68"/>
    </row>
    <row r="703" spans="1:7" ht="57.6" x14ac:dyDescent="0.3">
      <c r="A703" s="38" t="s">
        <v>748</v>
      </c>
      <c r="B703" s="20" t="s">
        <v>788</v>
      </c>
      <c r="C703" s="49" t="s">
        <v>1035</v>
      </c>
      <c r="D703" s="27" t="s">
        <v>1176</v>
      </c>
      <c r="E703" s="68" t="s">
        <v>1795</v>
      </c>
      <c r="F703" s="14" t="s">
        <v>1029</v>
      </c>
      <c r="G703" s="68"/>
    </row>
    <row r="704" spans="1:7" ht="43.2" x14ac:dyDescent="0.3">
      <c r="A704" s="38" t="s">
        <v>748</v>
      </c>
      <c r="B704" s="20" t="s">
        <v>788</v>
      </c>
      <c r="C704" s="49" t="s">
        <v>1036</v>
      </c>
      <c r="D704" s="27" t="s">
        <v>41</v>
      </c>
      <c r="E704" s="68" t="s">
        <v>1796</v>
      </c>
      <c r="F704" s="14" t="s">
        <v>918</v>
      </c>
      <c r="G704" s="68"/>
    </row>
    <row r="705" spans="1:7" ht="72" x14ac:dyDescent="0.3">
      <c r="A705" s="38" t="s">
        <v>748</v>
      </c>
      <c r="B705" s="20" t="s">
        <v>788</v>
      </c>
      <c r="C705" s="49" t="s">
        <v>1037</v>
      </c>
      <c r="D705" s="27" t="s">
        <v>45</v>
      </c>
      <c r="E705" s="14" t="s">
        <v>1038</v>
      </c>
      <c r="F705" s="14" t="s">
        <v>1039</v>
      </c>
      <c r="G705" s="68"/>
    </row>
    <row r="706" spans="1:7" ht="57.6" x14ac:dyDescent="0.3">
      <c r="A706" s="38" t="s">
        <v>748</v>
      </c>
      <c r="B706" s="20" t="s">
        <v>788</v>
      </c>
      <c r="C706" s="49" t="s">
        <v>1040</v>
      </c>
      <c r="D706" s="27" t="s">
        <v>1176</v>
      </c>
      <c r="E706" s="14" t="s">
        <v>1041</v>
      </c>
      <c r="F706" s="14" t="s">
        <v>1039</v>
      </c>
      <c r="G706" s="68"/>
    </row>
    <row r="707" spans="1:7" ht="57.6" x14ac:dyDescent="0.3">
      <c r="A707" s="38" t="s">
        <v>748</v>
      </c>
      <c r="B707" s="20" t="s">
        <v>788</v>
      </c>
      <c r="C707" s="49" t="s">
        <v>1042</v>
      </c>
      <c r="D707" s="27" t="s">
        <v>45</v>
      </c>
      <c r="E707" s="68" t="s">
        <v>1797</v>
      </c>
      <c r="F707" s="14" t="s">
        <v>1043</v>
      </c>
      <c r="G707" s="68"/>
    </row>
    <row r="708" spans="1:7" ht="57.6" x14ac:dyDescent="0.3">
      <c r="A708" s="38" t="s">
        <v>748</v>
      </c>
      <c r="B708" s="20" t="s">
        <v>788</v>
      </c>
      <c r="C708" s="49" t="s">
        <v>1044</v>
      </c>
      <c r="D708" s="27" t="s">
        <v>1176</v>
      </c>
      <c r="E708" s="68" t="s">
        <v>1798</v>
      </c>
      <c r="F708" s="14" t="s">
        <v>1039</v>
      </c>
      <c r="G708" s="68"/>
    </row>
    <row r="709" spans="1:7" ht="72" x14ac:dyDescent="0.3">
      <c r="A709" s="38" t="s">
        <v>748</v>
      </c>
      <c r="B709" s="20" t="s">
        <v>788</v>
      </c>
      <c r="C709" s="49" t="s">
        <v>1045</v>
      </c>
      <c r="D709" s="27" t="s">
        <v>1176</v>
      </c>
      <c r="E709" s="87" t="s">
        <v>1799</v>
      </c>
      <c r="F709" s="14" t="s">
        <v>1039</v>
      </c>
      <c r="G709" s="68"/>
    </row>
    <row r="710" spans="1:7" ht="57.6" x14ac:dyDescent="0.3">
      <c r="A710" s="38" t="s">
        <v>748</v>
      </c>
      <c r="B710" s="20" t="s">
        <v>788</v>
      </c>
      <c r="C710" s="49" t="s">
        <v>1046</v>
      </c>
      <c r="D710" s="27" t="s">
        <v>45</v>
      </c>
      <c r="E710" s="68" t="s">
        <v>1800</v>
      </c>
      <c r="F710" s="14" t="s">
        <v>918</v>
      </c>
      <c r="G710" s="68"/>
    </row>
    <row r="711" spans="1:7" ht="72" x14ac:dyDescent="0.3">
      <c r="A711" s="38" t="s">
        <v>748</v>
      </c>
      <c r="B711" s="20" t="s">
        <v>788</v>
      </c>
      <c r="C711" s="49" t="s">
        <v>1047</v>
      </c>
      <c r="D711" s="27" t="s">
        <v>1176</v>
      </c>
      <c r="E711" s="87" t="s">
        <v>1801</v>
      </c>
      <c r="F711" s="14" t="s">
        <v>918</v>
      </c>
      <c r="G711" s="68"/>
    </row>
    <row r="712" spans="1:7" ht="57.6" x14ac:dyDescent="0.3">
      <c r="A712" s="38" t="s">
        <v>748</v>
      </c>
      <c r="B712" s="20" t="s">
        <v>788</v>
      </c>
      <c r="C712" s="49" t="s">
        <v>1048</v>
      </c>
      <c r="D712" s="27" t="s">
        <v>45</v>
      </c>
      <c r="E712" s="68" t="s">
        <v>1802</v>
      </c>
      <c r="F712" s="14" t="s">
        <v>1043</v>
      </c>
      <c r="G712" s="68"/>
    </row>
    <row r="713" spans="1:7" ht="43.2" x14ac:dyDescent="0.3">
      <c r="A713" s="38" t="s">
        <v>748</v>
      </c>
      <c r="B713" s="20" t="s">
        <v>788</v>
      </c>
      <c r="C713" s="49" t="s">
        <v>1049</v>
      </c>
      <c r="D713" s="27" t="s">
        <v>1176</v>
      </c>
      <c r="E713" s="68" t="s">
        <v>1803</v>
      </c>
      <c r="F713" s="14" t="s">
        <v>1039</v>
      </c>
      <c r="G713" s="68"/>
    </row>
    <row r="714" spans="1:7" ht="72" x14ac:dyDescent="0.3">
      <c r="A714" s="38" t="s">
        <v>748</v>
      </c>
      <c r="B714" s="20" t="s">
        <v>788</v>
      </c>
      <c r="C714" s="57" t="s">
        <v>1050</v>
      </c>
      <c r="D714" s="27" t="s">
        <v>45</v>
      </c>
      <c r="E714" s="68" t="s">
        <v>1804</v>
      </c>
      <c r="F714" s="14" t="s">
        <v>1039</v>
      </c>
      <c r="G714" s="68"/>
    </row>
    <row r="715" spans="1:7" ht="57.6" x14ac:dyDescent="0.3">
      <c r="A715" s="38" t="s">
        <v>748</v>
      </c>
      <c r="B715" s="20" t="s">
        <v>788</v>
      </c>
      <c r="C715" s="57" t="s">
        <v>1051</v>
      </c>
      <c r="D715" s="27" t="s">
        <v>1176</v>
      </c>
      <c r="E715" s="68" t="s">
        <v>1805</v>
      </c>
      <c r="F715" s="14" t="s">
        <v>1039</v>
      </c>
      <c r="G715" s="68"/>
    </row>
    <row r="716" spans="1:7" ht="57.6" x14ac:dyDescent="0.3">
      <c r="A716" s="38" t="s">
        <v>748</v>
      </c>
      <c r="B716" s="20" t="s">
        <v>788</v>
      </c>
      <c r="C716" s="57" t="s">
        <v>1052</v>
      </c>
      <c r="D716" s="27" t="s">
        <v>41</v>
      </c>
      <c r="E716" s="68" t="s">
        <v>1806</v>
      </c>
      <c r="F716" s="14" t="s">
        <v>1039</v>
      </c>
      <c r="G716" s="68"/>
    </row>
    <row r="717" spans="1:7" ht="72" x14ac:dyDescent="0.3">
      <c r="A717" s="38" t="s">
        <v>748</v>
      </c>
      <c r="B717" s="20" t="s">
        <v>788</v>
      </c>
      <c r="C717" s="57" t="s">
        <v>1053</v>
      </c>
      <c r="D717" s="27" t="s">
        <v>45</v>
      </c>
      <c r="E717" s="68" t="s">
        <v>1807</v>
      </c>
      <c r="F717" s="14" t="s">
        <v>1039</v>
      </c>
      <c r="G717" s="68"/>
    </row>
    <row r="718" spans="1:7" ht="72" x14ac:dyDescent="0.3">
      <c r="A718" s="38" t="s">
        <v>748</v>
      </c>
      <c r="B718" s="20" t="s">
        <v>788</v>
      </c>
      <c r="C718" s="57" t="s">
        <v>1054</v>
      </c>
      <c r="D718" s="27" t="s">
        <v>1176</v>
      </c>
      <c r="E718" s="68" t="s">
        <v>1808</v>
      </c>
      <c r="F718" s="14" t="s">
        <v>1039</v>
      </c>
      <c r="G718" s="68"/>
    </row>
    <row r="719" spans="1:7" ht="72" x14ac:dyDescent="0.3">
      <c r="A719" s="38" t="s">
        <v>748</v>
      </c>
      <c r="B719" s="20" t="s">
        <v>788</v>
      </c>
      <c r="C719" s="57" t="s">
        <v>1055</v>
      </c>
      <c r="D719" s="27" t="s">
        <v>1176</v>
      </c>
      <c r="E719" s="68" t="s">
        <v>1809</v>
      </c>
      <c r="F719" s="14" t="s">
        <v>1039</v>
      </c>
      <c r="G719" s="68"/>
    </row>
    <row r="720" spans="1:7" ht="72" x14ac:dyDescent="0.3">
      <c r="A720" s="38" t="s">
        <v>748</v>
      </c>
      <c r="B720" s="20" t="s">
        <v>788</v>
      </c>
      <c r="C720" s="49" t="s">
        <v>1056</v>
      </c>
      <c r="D720" s="27" t="s">
        <v>45</v>
      </c>
      <c r="E720" s="68" t="s">
        <v>1810</v>
      </c>
      <c r="F720" s="14" t="s">
        <v>1039</v>
      </c>
      <c r="G720" s="68"/>
    </row>
    <row r="721" spans="1:7" ht="72" x14ac:dyDescent="0.3">
      <c r="A721" s="38" t="s">
        <v>748</v>
      </c>
      <c r="B721" s="20" t="s">
        <v>788</v>
      </c>
      <c r="C721" s="49" t="s">
        <v>1057</v>
      </c>
      <c r="D721" s="27" t="s">
        <v>1176</v>
      </c>
      <c r="E721" s="68" t="s">
        <v>1811</v>
      </c>
      <c r="F721" s="14" t="s">
        <v>1039</v>
      </c>
      <c r="G721" s="68"/>
    </row>
    <row r="722" spans="1:7" ht="72" x14ac:dyDescent="0.3">
      <c r="A722" s="38" t="s">
        <v>748</v>
      </c>
      <c r="B722" s="20" t="s">
        <v>788</v>
      </c>
      <c r="C722" s="49" t="s">
        <v>1058</v>
      </c>
      <c r="D722" s="27" t="s">
        <v>41</v>
      </c>
      <c r="E722" s="68" t="s">
        <v>1812</v>
      </c>
      <c r="F722" s="14" t="s">
        <v>1039</v>
      </c>
      <c r="G722" s="68"/>
    </row>
    <row r="723" spans="1:7" ht="72" x14ac:dyDescent="0.3">
      <c r="A723" s="38" t="s">
        <v>748</v>
      </c>
      <c r="B723" s="20" t="s">
        <v>788</v>
      </c>
      <c r="C723" s="49" t="s">
        <v>1059</v>
      </c>
      <c r="D723" s="27" t="s">
        <v>45</v>
      </c>
      <c r="E723" s="68" t="s">
        <v>1813</v>
      </c>
      <c r="F723" s="14" t="s">
        <v>1039</v>
      </c>
      <c r="G723" s="68"/>
    </row>
    <row r="724" spans="1:7" ht="72" x14ac:dyDescent="0.3">
      <c r="A724" s="38" t="s">
        <v>748</v>
      </c>
      <c r="B724" s="20" t="s">
        <v>788</v>
      </c>
      <c r="C724" s="49" t="s">
        <v>1060</v>
      </c>
      <c r="D724" s="27" t="s">
        <v>1176</v>
      </c>
      <c r="E724" s="68" t="s">
        <v>1814</v>
      </c>
      <c r="F724" s="14" t="s">
        <v>1039</v>
      </c>
      <c r="G724" s="68"/>
    </row>
    <row r="725" spans="1:7" ht="86.4" x14ac:dyDescent="0.3">
      <c r="A725" s="38" t="s">
        <v>748</v>
      </c>
      <c r="B725" s="20" t="s">
        <v>788</v>
      </c>
      <c r="C725" s="49" t="s">
        <v>1061</v>
      </c>
      <c r="D725" s="27" t="s">
        <v>45</v>
      </c>
      <c r="E725" s="68" t="s">
        <v>1815</v>
      </c>
      <c r="F725" s="14" t="s">
        <v>939</v>
      </c>
      <c r="G725" s="68"/>
    </row>
    <row r="726" spans="1:7" ht="72" x14ac:dyDescent="0.3">
      <c r="A726" s="38" t="s">
        <v>748</v>
      </c>
      <c r="B726" s="20" t="s">
        <v>788</v>
      </c>
      <c r="C726" s="49" t="s">
        <v>1062</v>
      </c>
      <c r="D726" s="27" t="s">
        <v>1176</v>
      </c>
      <c r="E726" s="68" t="s">
        <v>1816</v>
      </c>
      <c r="F726" s="14" t="s">
        <v>939</v>
      </c>
      <c r="G726" s="68"/>
    </row>
    <row r="727" spans="1:7" ht="86.4" x14ac:dyDescent="0.3">
      <c r="A727" s="38" t="s">
        <v>748</v>
      </c>
      <c r="B727" s="20" t="s">
        <v>788</v>
      </c>
      <c r="C727" s="49" t="s">
        <v>1063</v>
      </c>
      <c r="D727" s="27" t="s">
        <v>45</v>
      </c>
      <c r="E727" s="68" t="s">
        <v>1817</v>
      </c>
      <c r="F727" s="14" t="s">
        <v>939</v>
      </c>
      <c r="G727" s="68"/>
    </row>
    <row r="728" spans="1:7" ht="86.4" x14ac:dyDescent="0.3">
      <c r="A728" s="38" t="s">
        <v>748</v>
      </c>
      <c r="B728" s="20" t="s">
        <v>788</v>
      </c>
      <c r="C728" s="49" t="s">
        <v>1064</v>
      </c>
      <c r="D728" s="27" t="s">
        <v>1176</v>
      </c>
      <c r="E728" s="68" t="s">
        <v>1818</v>
      </c>
      <c r="F728" s="14" t="s">
        <v>939</v>
      </c>
      <c r="G728" s="68"/>
    </row>
    <row r="729" spans="1:7" ht="57.6" x14ac:dyDescent="0.3">
      <c r="A729" s="38" t="s">
        <v>748</v>
      </c>
      <c r="B729" s="20" t="s">
        <v>788</v>
      </c>
      <c r="C729" s="49" t="s">
        <v>1065</v>
      </c>
      <c r="D729" s="27" t="s">
        <v>45</v>
      </c>
      <c r="E729" s="68" t="s">
        <v>1819</v>
      </c>
      <c r="F729" s="14" t="s">
        <v>806</v>
      </c>
      <c r="G729" s="68"/>
    </row>
    <row r="730" spans="1:7" ht="43.2" x14ac:dyDescent="0.3">
      <c r="A730" s="38" t="s">
        <v>748</v>
      </c>
      <c r="B730" s="20" t="s">
        <v>788</v>
      </c>
      <c r="C730" s="49" t="s">
        <v>1066</v>
      </c>
      <c r="D730" s="27" t="s">
        <v>1176</v>
      </c>
      <c r="E730" s="68" t="s">
        <v>1820</v>
      </c>
      <c r="F730" s="14" t="s">
        <v>806</v>
      </c>
      <c r="G730" s="68"/>
    </row>
    <row r="731" spans="1:7" ht="57.6" x14ac:dyDescent="0.3">
      <c r="A731" s="38" t="s">
        <v>748</v>
      </c>
      <c r="B731" s="20" t="s">
        <v>788</v>
      </c>
      <c r="C731" s="49" t="s">
        <v>1067</v>
      </c>
      <c r="D731" s="27" t="s">
        <v>45</v>
      </c>
      <c r="E731" s="68" t="s">
        <v>1821</v>
      </c>
      <c r="F731" s="14" t="s">
        <v>806</v>
      </c>
      <c r="G731" s="68"/>
    </row>
    <row r="732" spans="1:7" ht="57.6" x14ac:dyDescent="0.3">
      <c r="A732" s="38" t="s">
        <v>748</v>
      </c>
      <c r="B732" s="20" t="s">
        <v>788</v>
      </c>
      <c r="C732" s="49" t="s">
        <v>1068</v>
      </c>
      <c r="D732" s="27" t="s">
        <v>1176</v>
      </c>
      <c r="E732" s="68" t="s">
        <v>1822</v>
      </c>
      <c r="F732" s="14" t="s">
        <v>806</v>
      </c>
      <c r="G732" s="68"/>
    </row>
    <row r="733" spans="1:7" ht="43.2" x14ac:dyDescent="0.3">
      <c r="A733" s="38" t="s">
        <v>748</v>
      </c>
      <c r="B733" s="20" t="s">
        <v>788</v>
      </c>
      <c r="C733" s="49" t="s">
        <v>1069</v>
      </c>
      <c r="D733" s="27" t="s">
        <v>41</v>
      </c>
      <c r="E733" s="68" t="s">
        <v>1823</v>
      </c>
      <c r="F733" s="14" t="s">
        <v>806</v>
      </c>
      <c r="G733" s="68"/>
    </row>
    <row r="734" spans="1:7" ht="72" x14ac:dyDescent="0.3">
      <c r="A734" s="38" t="s">
        <v>748</v>
      </c>
      <c r="B734" s="20" t="s">
        <v>788</v>
      </c>
      <c r="C734" s="49" t="s">
        <v>1070</v>
      </c>
      <c r="D734" s="27" t="s">
        <v>45</v>
      </c>
      <c r="E734" s="68" t="s">
        <v>1824</v>
      </c>
      <c r="F734" s="14" t="s">
        <v>806</v>
      </c>
      <c r="G734" s="68"/>
    </row>
    <row r="735" spans="1:7" ht="57.6" x14ac:dyDescent="0.3">
      <c r="A735" s="38" t="s">
        <v>748</v>
      </c>
      <c r="B735" s="20" t="s">
        <v>788</v>
      </c>
      <c r="C735" s="49" t="s">
        <v>1071</v>
      </c>
      <c r="D735" s="27" t="s">
        <v>1176</v>
      </c>
      <c r="E735" s="68" t="s">
        <v>1825</v>
      </c>
      <c r="F735" s="14" t="s">
        <v>806</v>
      </c>
      <c r="G735" s="68"/>
    </row>
    <row r="736" spans="1:7" ht="57.6" x14ac:dyDescent="0.3">
      <c r="A736" s="38" t="s">
        <v>748</v>
      </c>
      <c r="B736" s="20" t="s">
        <v>788</v>
      </c>
      <c r="C736" s="49" t="s">
        <v>1072</v>
      </c>
      <c r="D736" s="27" t="s">
        <v>41</v>
      </c>
      <c r="E736" s="68" t="s">
        <v>1826</v>
      </c>
      <c r="F736" s="14" t="s">
        <v>806</v>
      </c>
      <c r="G736" s="68"/>
    </row>
    <row r="737" spans="1:7" ht="57.6" x14ac:dyDescent="0.3">
      <c r="A737" s="38" t="s">
        <v>748</v>
      </c>
      <c r="B737" s="20" t="s">
        <v>788</v>
      </c>
      <c r="C737" s="49" t="s">
        <v>1073</v>
      </c>
      <c r="D737" s="27" t="s">
        <v>45</v>
      </c>
      <c r="E737" s="68" t="s">
        <v>1827</v>
      </c>
      <c r="F737" s="14" t="s">
        <v>806</v>
      </c>
      <c r="G737" s="68"/>
    </row>
    <row r="738" spans="1:7" ht="57.6" x14ac:dyDescent="0.3">
      <c r="A738" s="38" t="s">
        <v>748</v>
      </c>
      <c r="B738" s="20" t="s">
        <v>788</v>
      </c>
      <c r="C738" s="49" t="s">
        <v>1074</v>
      </c>
      <c r="D738" s="27" t="s">
        <v>1176</v>
      </c>
      <c r="E738" s="68" t="s">
        <v>1828</v>
      </c>
      <c r="F738" s="14" t="s">
        <v>806</v>
      </c>
      <c r="G738" s="68"/>
    </row>
    <row r="739" spans="1:7" ht="72" x14ac:dyDescent="0.3">
      <c r="A739" s="38" t="s">
        <v>748</v>
      </c>
      <c r="B739" s="20" t="s">
        <v>788</v>
      </c>
      <c r="C739" s="57" t="s">
        <v>1075</v>
      </c>
      <c r="D739" s="27" t="s">
        <v>45</v>
      </c>
      <c r="E739" s="68" t="s">
        <v>1829</v>
      </c>
      <c r="F739" s="14" t="s">
        <v>806</v>
      </c>
      <c r="G739" s="68"/>
    </row>
    <row r="740" spans="1:7" ht="57.6" x14ac:dyDescent="0.3">
      <c r="A740" s="38" t="s">
        <v>748</v>
      </c>
      <c r="B740" s="20" t="s">
        <v>788</v>
      </c>
      <c r="C740" s="57" t="s">
        <v>1076</v>
      </c>
      <c r="D740" s="27" t="s">
        <v>1176</v>
      </c>
      <c r="E740" s="68" t="s">
        <v>1830</v>
      </c>
      <c r="F740" s="14" t="s">
        <v>806</v>
      </c>
      <c r="G740" s="68"/>
    </row>
    <row r="741" spans="1:7" ht="72" x14ac:dyDescent="0.3">
      <c r="A741" s="38" t="s">
        <v>748</v>
      </c>
      <c r="B741" s="20" t="s">
        <v>788</v>
      </c>
      <c r="C741" s="57" t="s">
        <v>1077</v>
      </c>
      <c r="D741" s="27" t="s">
        <v>1176</v>
      </c>
      <c r="E741" s="14" t="s">
        <v>1078</v>
      </c>
      <c r="F741" s="14" t="s">
        <v>806</v>
      </c>
      <c r="G741" s="68"/>
    </row>
    <row r="742" spans="1:7" ht="57.6" x14ac:dyDescent="0.3">
      <c r="A742" s="38" t="s">
        <v>748</v>
      </c>
      <c r="B742" s="20" t="s">
        <v>788</v>
      </c>
      <c r="C742" s="57" t="s">
        <v>1079</v>
      </c>
      <c r="D742" s="27" t="s">
        <v>41</v>
      </c>
      <c r="E742" s="68" t="s">
        <v>1831</v>
      </c>
      <c r="F742" s="14" t="s">
        <v>806</v>
      </c>
      <c r="G742" s="68"/>
    </row>
    <row r="743" spans="1:7" ht="72" x14ac:dyDescent="0.3">
      <c r="A743" s="38" t="s">
        <v>748</v>
      </c>
      <c r="B743" s="20" t="s">
        <v>788</v>
      </c>
      <c r="C743" s="57" t="s">
        <v>1080</v>
      </c>
      <c r="D743" s="27" t="s">
        <v>45</v>
      </c>
      <c r="E743" s="68" t="s">
        <v>1832</v>
      </c>
      <c r="F743" s="14" t="s">
        <v>806</v>
      </c>
      <c r="G743" s="68"/>
    </row>
    <row r="744" spans="1:7" ht="72" x14ac:dyDescent="0.3">
      <c r="A744" s="38" t="s">
        <v>748</v>
      </c>
      <c r="B744" s="20" t="s">
        <v>788</v>
      </c>
      <c r="C744" s="57" t="s">
        <v>1081</v>
      </c>
      <c r="D744" s="27" t="s">
        <v>1176</v>
      </c>
      <c r="E744" s="68" t="s">
        <v>1833</v>
      </c>
      <c r="F744" s="14" t="s">
        <v>806</v>
      </c>
      <c r="G744" s="68"/>
    </row>
    <row r="745" spans="1:7" ht="57.6" x14ac:dyDescent="0.3">
      <c r="A745" s="38" t="s">
        <v>748</v>
      </c>
      <c r="B745" s="20" t="s">
        <v>788</v>
      </c>
      <c r="C745" s="49" t="s">
        <v>1082</v>
      </c>
      <c r="D745" s="27" t="s">
        <v>45</v>
      </c>
      <c r="E745" s="68" t="s">
        <v>1834</v>
      </c>
      <c r="F745" s="14" t="s">
        <v>806</v>
      </c>
      <c r="G745" s="68"/>
    </row>
    <row r="746" spans="1:7" ht="57.6" x14ac:dyDescent="0.3">
      <c r="A746" s="38" t="s">
        <v>748</v>
      </c>
      <c r="B746" s="20" t="s">
        <v>788</v>
      </c>
      <c r="C746" s="49" t="s">
        <v>1083</v>
      </c>
      <c r="D746" s="27" t="s">
        <v>1176</v>
      </c>
      <c r="E746" s="68" t="s">
        <v>1835</v>
      </c>
      <c r="F746" s="14" t="s">
        <v>806</v>
      </c>
      <c r="G746" s="68"/>
    </row>
    <row r="747" spans="1:7" ht="57.6" x14ac:dyDescent="0.3">
      <c r="A747" s="38" t="s">
        <v>748</v>
      </c>
      <c r="B747" s="20" t="s">
        <v>788</v>
      </c>
      <c r="C747" s="49" t="s">
        <v>1084</v>
      </c>
      <c r="D747" s="27" t="s">
        <v>45</v>
      </c>
      <c r="E747" s="68" t="s">
        <v>1836</v>
      </c>
      <c r="F747" s="14" t="s">
        <v>806</v>
      </c>
      <c r="G747" s="68"/>
    </row>
    <row r="748" spans="1:7" ht="57.6" x14ac:dyDescent="0.3">
      <c r="A748" s="38" t="s">
        <v>748</v>
      </c>
      <c r="B748" s="20" t="s">
        <v>788</v>
      </c>
      <c r="C748" s="49" t="s">
        <v>1085</v>
      </c>
      <c r="D748" s="27" t="s">
        <v>1176</v>
      </c>
      <c r="E748" s="68" t="s">
        <v>1837</v>
      </c>
      <c r="F748" s="14" t="s">
        <v>806</v>
      </c>
      <c r="G748" s="68"/>
    </row>
    <row r="749" spans="1:7" ht="100.8" x14ac:dyDescent="0.3">
      <c r="A749" s="38" t="s">
        <v>748</v>
      </c>
      <c r="B749" s="20" t="s">
        <v>788</v>
      </c>
      <c r="C749" s="49" t="s">
        <v>1086</v>
      </c>
      <c r="D749" s="27" t="s">
        <v>45</v>
      </c>
      <c r="E749" s="14" t="s">
        <v>1087</v>
      </c>
      <c r="F749" s="14" t="s">
        <v>1088</v>
      </c>
      <c r="G749" s="68"/>
    </row>
    <row r="750" spans="1:7" ht="57.6" x14ac:dyDescent="0.3">
      <c r="A750" s="38" t="s">
        <v>748</v>
      </c>
      <c r="B750" s="20" t="s">
        <v>788</v>
      </c>
      <c r="C750" s="49" t="s">
        <v>1089</v>
      </c>
      <c r="D750" s="27" t="s">
        <v>1176</v>
      </c>
      <c r="E750" s="14" t="s">
        <v>1090</v>
      </c>
      <c r="F750" s="14" t="s">
        <v>1088</v>
      </c>
      <c r="G750" s="68"/>
    </row>
    <row r="751" spans="1:7" ht="43.2" x14ac:dyDescent="0.3">
      <c r="A751" s="38" t="s">
        <v>748</v>
      </c>
      <c r="B751" s="20" t="s">
        <v>788</v>
      </c>
      <c r="C751" s="49" t="s">
        <v>1091</v>
      </c>
      <c r="D751" s="27" t="s">
        <v>1176</v>
      </c>
      <c r="E751" s="14" t="s">
        <v>1092</v>
      </c>
      <c r="F751" s="14" t="s">
        <v>1088</v>
      </c>
      <c r="G751" s="68"/>
    </row>
    <row r="753" spans="1:6" x14ac:dyDescent="0.3">
      <c r="E753" s="62"/>
    </row>
    <row r="754" spans="1:6" s="18" customFormat="1" x14ac:dyDescent="0.3">
      <c r="A754" s="12"/>
      <c r="B754" s="34"/>
      <c r="C754" s="35"/>
      <c r="D754" s="32"/>
      <c r="E754" s="62"/>
      <c r="F754" s="10"/>
    </row>
    <row r="755" spans="1:6" x14ac:dyDescent="0.3">
      <c r="E755" s="62"/>
    </row>
    <row r="756" spans="1:6" s="18" customFormat="1" x14ac:dyDescent="0.3">
      <c r="A756" s="12"/>
      <c r="B756" s="34"/>
      <c r="C756" s="35"/>
      <c r="D756" s="32"/>
      <c r="E756" s="62"/>
      <c r="F756" s="10"/>
    </row>
    <row r="757" spans="1:6" s="18" customFormat="1" x14ac:dyDescent="0.3">
      <c r="A757" s="12"/>
      <c r="B757" s="34"/>
      <c r="C757" s="35"/>
      <c r="D757" s="32"/>
      <c r="E757" s="62"/>
      <c r="F757" s="10"/>
    </row>
    <row r="758" spans="1:6" s="18" customFormat="1" x14ac:dyDescent="0.3">
      <c r="A758" s="12"/>
      <c r="B758" s="34"/>
      <c r="C758" s="35"/>
      <c r="D758" s="32"/>
      <c r="E758" s="10"/>
      <c r="F758" s="10"/>
    </row>
  </sheetData>
  <phoneticPr fontId="25" type="noConversion"/>
  <printOptions horizontalCentered="1"/>
  <pageMargins left="0.5" right="0.5" top="0.5" bottom="0.5" header="0.3" footer="0.3"/>
  <pageSetup scale="61" fitToHeight="0" orientation="landscape" r:id="rId1"/>
  <headerFooter>
    <oddHeader>&amp;C&amp;A</oddHeader>
    <oddFooter>&amp;L&amp;9© 2021 The MITRE Corporation – all rights reserved  
Federal  Government – unlimited usage rights&amp;C&amp;9&amp;F&amp;R&amp;9Page &amp;P of &amp;N</oddFoot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pageSetUpPr fitToPage="1"/>
  </sheetPr>
  <dimension ref="A1:G20"/>
  <sheetViews>
    <sheetView showGridLines="0" zoomScaleNormal="100" workbookViewId="0">
      <pane xSplit="1" ySplit="2" topLeftCell="B3" activePane="bottomRight" state="frozen"/>
      <selection pane="topRight" activeCell="B1" sqref="B1"/>
      <selection pane="bottomLeft" activeCell="A3" sqref="A3"/>
      <selection pane="bottomRight" sqref="A1:G1"/>
    </sheetView>
  </sheetViews>
  <sheetFormatPr defaultRowHeight="14.4" x14ac:dyDescent="0.3"/>
  <cols>
    <col min="1" max="1" width="15.77734375" customWidth="1"/>
    <col min="2" max="2" width="14.77734375" customWidth="1"/>
    <col min="3" max="3" width="34.5546875" customWidth="1"/>
    <col min="5" max="5" width="10.44140625" customWidth="1"/>
  </cols>
  <sheetData>
    <row r="1" spans="1:7" ht="18" x14ac:dyDescent="0.35">
      <c r="A1" s="142" t="s">
        <v>1093</v>
      </c>
      <c r="B1" s="142"/>
      <c r="C1" s="142"/>
      <c r="D1" s="142"/>
      <c r="E1" s="142"/>
      <c r="F1" s="142"/>
      <c r="G1" s="142"/>
    </row>
    <row r="2" spans="1:7" ht="31.5" customHeight="1" x14ac:dyDescent="0.3">
      <c r="A2" s="61" t="s">
        <v>1094</v>
      </c>
      <c r="B2" s="143" t="s">
        <v>1095</v>
      </c>
      <c r="C2" s="143"/>
      <c r="D2" s="61" t="s">
        <v>1096</v>
      </c>
      <c r="E2" s="61" t="s">
        <v>1097</v>
      </c>
      <c r="F2" s="61" t="s">
        <v>1098</v>
      </c>
      <c r="G2" s="61" t="s">
        <v>1099</v>
      </c>
    </row>
    <row r="3" spans="1:7" ht="29.25" customHeight="1" x14ac:dyDescent="0.3">
      <c r="A3" s="144" t="s">
        <v>38</v>
      </c>
      <c r="B3" s="4" t="s">
        <v>1100</v>
      </c>
      <c r="C3" s="5" t="s">
        <v>1101</v>
      </c>
      <c r="D3" s="3">
        <f>COUNTIFS('Business Capabilities'!$B$2:$B$753,'Capability Totals'!B3&amp;" "&amp;'Capability Totals'!C3,'Business Capabilities'!$D$2:$D$753,"I")</f>
        <v>9</v>
      </c>
      <c r="E3" s="3">
        <f>COUNTIFS('Business Capabilities'!$B$2:$B$753,'Capability Totals'!B3&amp;" "&amp;'Capability Totals'!C3,'Business Capabilities'!$D$2:$D$753,"P")</f>
        <v>17</v>
      </c>
      <c r="F3" s="3">
        <f>COUNTIFS('Business Capabilities'!$B$2:$B$753,'Capability Totals'!B3&amp;" "&amp;'Capability Totals'!C3,'Business Capabilities'!$D$2:$D$753,"O")</f>
        <v>17</v>
      </c>
      <c r="G3" s="6">
        <f>SUM(D3:F3)</f>
        <v>43</v>
      </c>
    </row>
    <row r="4" spans="1:7" ht="29.25" customHeight="1" x14ac:dyDescent="0.3">
      <c r="A4" s="144"/>
      <c r="B4" s="4" t="s">
        <v>1102</v>
      </c>
      <c r="C4" s="5" t="s">
        <v>1103</v>
      </c>
      <c r="D4" s="3">
        <f>COUNTIFS('Business Capabilities'!$B$2:$B$753,'Capability Totals'!B4&amp;" "&amp;'Capability Totals'!C4,'Business Capabilities'!$D$2:$D$753,"I")</f>
        <v>0</v>
      </c>
      <c r="E4" s="3">
        <f>COUNTIFS('Business Capabilities'!$B$2:$B$753,'Capability Totals'!B4&amp;" "&amp;'Capability Totals'!C4,'Business Capabilities'!$D$2:$D$753,"P")</f>
        <v>9</v>
      </c>
      <c r="F4" s="3">
        <f>COUNTIFS('Business Capabilities'!$B$2:$B$753,'Capability Totals'!B4&amp;" "&amp;'Capability Totals'!C4,'Business Capabilities'!$D$2:$D$753,"O")</f>
        <v>9</v>
      </c>
      <c r="G4" s="6">
        <f>SUM(D4:F4)</f>
        <v>18</v>
      </c>
    </row>
    <row r="5" spans="1:7" ht="29.25" customHeight="1" x14ac:dyDescent="0.3">
      <c r="A5" s="144" t="s">
        <v>155</v>
      </c>
      <c r="B5" s="4" t="s">
        <v>1104</v>
      </c>
      <c r="C5" s="5" t="s">
        <v>1105</v>
      </c>
      <c r="D5" s="3">
        <f>COUNTIFS('Business Capabilities'!$B$2:$B$753,'Capability Totals'!B5&amp;" "&amp;'Capability Totals'!C5,'Business Capabilities'!$D$2:$D$753,"I")</f>
        <v>6</v>
      </c>
      <c r="E5" s="3">
        <f>COUNTIFS('Business Capabilities'!$B$2:$B$753,'Capability Totals'!B5&amp;" "&amp;'Capability Totals'!C5,'Business Capabilities'!$D$2:$D$753,"P")</f>
        <v>5</v>
      </c>
      <c r="F5" s="3">
        <f>COUNTIFS('Business Capabilities'!$B$2:$B$753,'Capability Totals'!B5&amp;" "&amp;'Capability Totals'!C5,'Business Capabilities'!$D$2:$D$753,"O")</f>
        <v>6</v>
      </c>
      <c r="G5" s="6">
        <f t="shared" ref="G5:G18" si="0">SUM(D5:F5)</f>
        <v>17</v>
      </c>
    </row>
    <row r="6" spans="1:7" ht="29.25" customHeight="1" x14ac:dyDescent="0.3">
      <c r="A6" s="144"/>
      <c r="B6" s="4" t="s">
        <v>1106</v>
      </c>
      <c r="C6" s="5" t="s">
        <v>1107</v>
      </c>
      <c r="D6" s="3">
        <f>COUNTIFS('Business Capabilities'!$B$2:$B$753,'Capability Totals'!B6&amp;" "&amp;'Capability Totals'!C6,'Business Capabilities'!$D$2:$D$753,"I")</f>
        <v>8</v>
      </c>
      <c r="E6" s="3">
        <f>COUNTIFS('Business Capabilities'!$B$2:$B$753,'Capability Totals'!B6&amp;" "&amp;'Capability Totals'!C6,'Business Capabilities'!$D$2:$D$753,"P")</f>
        <v>22</v>
      </c>
      <c r="F6" s="3">
        <f>COUNTIFS('Business Capabilities'!$B$2:$B$753,'Capability Totals'!B6&amp;" "&amp;'Capability Totals'!C6,'Business Capabilities'!$D$2:$D$753,"O")</f>
        <v>23</v>
      </c>
      <c r="G6" s="6">
        <f t="shared" si="0"/>
        <v>53</v>
      </c>
    </row>
    <row r="7" spans="1:7" ht="29.25" customHeight="1" x14ac:dyDescent="0.3">
      <c r="A7" s="144" t="s">
        <v>261</v>
      </c>
      <c r="B7" s="4" t="s">
        <v>1108</v>
      </c>
      <c r="C7" s="5" t="s">
        <v>1109</v>
      </c>
      <c r="D7" s="3">
        <f>COUNTIFS('Business Capabilities'!$B$2:$B$753,'Capability Totals'!B7&amp;" "&amp;'Capability Totals'!C7,'Business Capabilities'!$D$2:$D$753,"I")</f>
        <v>11</v>
      </c>
      <c r="E7" s="3">
        <f>COUNTIFS('Business Capabilities'!$B$2:$B$753,'Capability Totals'!B7&amp;" "&amp;'Capability Totals'!C7,'Business Capabilities'!$D$2:$D$753,"P")</f>
        <v>17</v>
      </c>
      <c r="F7" s="3">
        <f>COUNTIFS('Business Capabilities'!$B$2:$B$753,'Capability Totals'!B7&amp;" "&amp;'Capability Totals'!C7,'Business Capabilities'!$D$2:$D$753,"O")</f>
        <v>22</v>
      </c>
      <c r="G7" s="6">
        <f t="shared" si="0"/>
        <v>50</v>
      </c>
    </row>
    <row r="8" spans="1:7" ht="29.25" customHeight="1" x14ac:dyDescent="0.3">
      <c r="A8" s="144"/>
      <c r="B8" s="4" t="s">
        <v>1110</v>
      </c>
      <c r="C8" s="5" t="s">
        <v>1111</v>
      </c>
      <c r="D8" s="3">
        <f>COUNTIFS('Business Capabilities'!$B$2:$B$753,'Capability Totals'!B8&amp;" "&amp;'Capability Totals'!C8,'Business Capabilities'!$D$2:$D$753,"I")</f>
        <v>5</v>
      </c>
      <c r="E8" s="3">
        <f>COUNTIFS('Business Capabilities'!$B$2:$B$753,'Capability Totals'!B8&amp;" "&amp;'Capability Totals'!C8,'Business Capabilities'!$D$2:$D$753,"P")</f>
        <v>14</v>
      </c>
      <c r="F8" s="3">
        <f>COUNTIFS('Business Capabilities'!$B$2:$B$753,'Capability Totals'!B8&amp;" "&amp;'Capability Totals'!C8,'Business Capabilities'!$D$2:$D$753,"O")</f>
        <v>17</v>
      </c>
      <c r="G8" s="6">
        <f t="shared" si="0"/>
        <v>36</v>
      </c>
    </row>
    <row r="9" spans="1:7" ht="29.25" customHeight="1" x14ac:dyDescent="0.3">
      <c r="A9" s="144" t="s">
        <v>341</v>
      </c>
      <c r="B9" s="4" t="s">
        <v>1112</v>
      </c>
      <c r="C9" s="5" t="s">
        <v>1113</v>
      </c>
      <c r="D9" s="3">
        <f>COUNTIFS('Business Capabilities'!$B$2:$B$753,'Capability Totals'!B9&amp;" "&amp;'Capability Totals'!C9,'Business Capabilities'!$D$2:$D$753,"I")</f>
        <v>5</v>
      </c>
      <c r="E9" s="3">
        <f>COUNTIFS('Business Capabilities'!$B$2:$B$753,'Capability Totals'!B9&amp;" "&amp;'Capability Totals'!C9,'Business Capabilities'!$D$2:$D$753,"P")</f>
        <v>11</v>
      </c>
      <c r="F9" s="3">
        <f>COUNTIFS('Business Capabilities'!$B$2:$B$753,'Capability Totals'!B9&amp;" "&amp;'Capability Totals'!C9,'Business Capabilities'!$D$2:$D$753,"O")</f>
        <v>14</v>
      </c>
      <c r="G9" s="6">
        <f t="shared" si="0"/>
        <v>30</v>
      </c>
    </row>
    <row r="10" spans="1:7" ht="29.25" customHeight="1" x14ac:dyDescent="0.3">
      <c r="A10" s="144"/>
      <c r="B10" s="4" t="s">
        <v>1114</v>
      </c>
      <c r="C10" s="5" t="s">
        <v>1115</v>
      </c>
      <c r="D10" s="3">
        <f>COUNTIFS('Business Capabilities'!$B$2:$B$753,'Capability Totals'!B10&amp;" "&amp;'Capability Totals'!C10,'Business Capabilities'!$D$2:$D$753,"I")</f>
        <v>8</v>
      </c>
      <c r="E10" s="3">
        <f>COUNTIFS('Business Capabilities'!$B$2:$B$753,'Capability Totals'!B10&amp;" "&amp;'Capability Totals'!C10,'Business Capabilities'!$D$2:$D$753,"P")</f>
        <v>12</v>
      </c>
      <c r="F10" s="3">
        <f>COUNTIFS('Business Capabilities'!$B$2:$B$753,'Capability Totals'!B10&amp;" "&amp;'Capability Totals'!C10,'Business Capabilities'!$D$2:$D$753,"O")</f>
        <v>21</v>
      </c>
      <c r="G10" s="6">
        <f t="shared" si="0"/>
        <v>41</v>
      </c>
    </row>
    <row r="11" spans="1:7" ht="29.25" customHeight="1" x14ac:dyDescent="0.3">
      <c r="A11" s="144"/>
      <c r="B11" s="4" t="s">
        <v>1116</v>
      </c>
      <c r="C11" s="5" t="s">
        <v>1117</v>
      </c>
      <c r="D11" s="3">
        <f>COUNTIFS('Business Capabilities'!$B$2:$B$753,'Capability Totals'!B11&amp;" "&amp;'Capability Totals'!C11,'Business Capabilities'!$D$2:$D$753,"I")</f>
        <v>10</v>
      </c>
      <c r="E11" s="3">
        <f>COUNTIFS('Business Capabilities'!$B$2:$B$753,'Capability Totals'!B11&amp;" "&amp;'Capability Totals'!C11,'Business Capabilities'!$D$2:$D$753,"P")</f>
        <v>26</v>
      </c>
      <c r="F11" s="3">
        <f>COUNTIFS('Business Capabilities'!$B$2:$B$753,'Capability Totals'!B11&amp;" "&amp;'Capability Totals'!C11,'Business Capabilities'!$D$2:$D$753,"O")</f>
        <v>36</v>
      </c>
      <c r="G11" s="6">
        <f t="shared" si="0"/>
        <v>72</v>
      </c>
    </row>
    <row r="12" spans="1:7" ht="29.25" customHeight="1" x14ac:dyDescent="0.3">
      <c r="A12" s="144"/>
      <c r="B12" s="4" t="s">
        <v>1118</v>
      </c>
      <c r="C12" s="5" t="s">
        <v>1119</v>
      </c>
      <c r="D12" s="3">
        <f>COUNTIFS('Business Capabilities'!$B$2:$B$753,'Capability Totals'!B12&amp;" "&amp;'Capability Totals'!C12,'Business Capabilities'!$D$2:$D$753,"I")</f>
        <v>12</v>
      </c>
      <c r="E12" s="3">
        <f>COUNTIFS('Business Capabilities'!$B$2:$B$753,'Capability Totals'!B12&amp;" "&amp;'Capability Totals'!C12,'Business Capabilities'!$D$2:$D$753,"P")</f>
        <v>22</v>
      </c>
      <c r="F12" s="3">
        <f>COUNTIFS('Business Capabilities'!$B$2:$B$753,'Capability Totals'!B12&amp;" "&amp;'Capability Totals'!C12,'Business Capabilities'!$D$2:$D$753,"O")</f>
        <v>38</v>
      </c>
      <c r="G12" s="6">
        <f t="shared" si="0"/>
        <v>72</v>
      </c>
    </row>
    <row r="13" spans="1:7" ht="29.25" customHeight="1" x14ac:dyDescent="0.3">
      <c r="A13" s="144"/>
      <c r="B13" s="4" t="s">
        <v>1120</v>
      </c>
      <c r="C13" s="5" t="s">
        <v>1121</v>
      </c>
      <c r="D13" s="3">
        <f>COUNTIFS('Business Capabilities'!$B$2:$B$753,'Capability Totals'!B13&amp;" "&amp;'Capability Totals'!C13,'Business Capabilities'!$D$2:$D$753,"I")</f>
        <v>1</v>
      </c>
      <c r="E13" s="3">
        <f>COUNTIFS('Business Capabilities'!$B$2:$B$753,'Capability Totals'!B13&amp;" "&amp;'Capability Totals'!C13,'Business Capabilities'!$D$2:$D$753,"P")</f>
        <v>2</v>
      </c>
      <c r="F13" s="3">
        <f>COUNTIFS('Business Capabilities'!$B$2:$B$753,'Capability Totals'!B13&amp;" "&amp;'Capability Totals'!C13,'Business Capabilities'!$D$2:$D$753,"O")</f>
        <v>3</v>
      </c>
      <c r="G13" s="6">
        <f t="shared" ref="G13" si="1">SUM(D13:F13)</f>
        <v>6</v>
      </c>
    </row>
    <row r="14" spans="1:7" ht="29.25" customHeight="1" x14ac:dyDescent="0.3">
      <c r="A14" s="144"/>
      <c r="B14" s="4" t="s">
        <v>1122</v>
      </c>
      <c r="C14" s="5" t="s">
        <v>1123</v>
      </c>
      <c r="D14" s="3">
        <f>COUNTIFS('Business Capabilities'!$B$2:$B$753,'Capability Totals'!B14&amp;" "&amp;'Capability Totals'!C14,'Business Capabilities'!$D$2:$D$753,"I")</f>
        <v>6</v>
      </c>
      <c r="E14" s="3">
        <f>COUNTIFS('Business Capabilities'!$B$2:$B$753,'Capability Totals'!B14&amp;" "&amp;'Capability Totals'!C14,'Business Capabilities'!$D$2:$D$753,"P")</f>
        <v>19</v>
      </c>
      <c r="F14" s="3">
        <f>COUNTIFS('Business Capabilities'!$B$2:$B$753,'Capability Totals'!B14&amp;" "&amp;'Capability Totals'!C14,'Business Capabilities'!$D$2:$D$753,"O")</f>
        <v>24</v>
      </c>
      <c r="G14" s="6">
        <f t="shared" si="0"/>
        <v>49</v>
      </c>
    </row>
    <row r="15" spans="1:7" ht="29.25" customHeight="1" x14ac:dyDescent="0.3">
      <c r="A15" s="144" t="s">
        <v>672</v>
      </c>
      <c r="B15" s="4" t="s">
        <v>1124</v>
      </c>
      <c r="C15" s="5" t="s">
        <v>1125</v>
      </c>
      <c r="D15" s="3">
        <f>COUNTIFS('Business Capabilities'!$B$2:$B$753,'Capability Totals'!B15&amp;" "&amp;'Capability Totals'!C15,'Business Capabilities'!$D$2:$D$753,"I")</f>
        <v>1</v>
      </c>
      <c r="E15" s="3">
        <f>COUNTIFS('Business Capabilities'!$B$2:$B$753,'Capability Totals'!B15&amp;" "&amp;'Capability Totals'!C15,'Business Capabilities'!$D$2:$D$753,"P")</f>
        <v>13</v>
      </c>
      <c r="F15" s="3">
        <f>COUNTIFS('Business Capabilities'!$B$2:$B$753,'Capability Totals'!B15&amp;" "&amp;'Capability Totals'!C15,'Business Capabilities'!$D$2:$D$753,"O")</f>
        <v>14</v>
      </c>
      <c r="G15" s="6">
        <f t="shared" si="0"/>
        <v>28</v>
      </c>
    </row>
    <row r="16" spans="1:7" ht="29.25" customHeight="1" x14ac:dyDescent="0.3">
      <c r="A16" s="144"/>
      <c r="B16" s="4" t="s">
        <v>1126</v>
      </c>
      <c r="C16" s="5" t="s">
        <v>1127</v>
      </c>
      <c r="D16" s="3">
        <f>COUNTIFS('Business Capabilities'!$B$2:$B$753,'Capability Totals'!B16&amp;" "&amp;'Capability Totals'!C16,'Business Capabilities'!$D$2:$D$753,"I")</f>
        <v>1</v>
      </c>
      <c r="E16" s="3">
        <f>COUNTIFS('Business Capabilities'!$B$2:$B$753,'Capability Totals'!B16&amp;" "&amp;'Capability Totals'!C16,'Business Capabilities'!$D$2:$D$753,"P")</f>
        <v>5</v>
      </c>
      <c r="F16" s="3">
        <f>COUNTIFS('Business Capabilities'!$B$2:$B$753,'Capability Totals'!B16&amp;" "&amp;'Capability Totals'!C16,'Business Capabilities'!$D$2:$D$753,"O")</f>
        <v>5</v>
      </c>
      <c r="G16" s="6">
        <f t="shared" si="0"/>
        <v>11</v>
      </c>
    </row>
    <row r="17" spans="1:7" ht="29.25" customHeight="1" x14ac:dyDescent="0.3">
      <c r="A17" s="144" t="s">
        <v>748</v>
      </c>
      <c r="B17" s="4" t="s">
        <v>1128</v>
      </c>
      <c r="C17" s="5" t="s">
        <v>1129</v>
      </c>
      <c r="D17" s="3">
        <f>COUNTIFS('Business Capabilities'!$B$2:$B$753,'Capability Totals'!B17&amp;" "&amp;'Capability Totals'!C17,'Business Capabilities'!$D$2:$D$753,"I")</f>
        <v>7</v>
      </c>
      <c r="E17" s="3">
        <f>COUNTIFS('Business Capabilities'!$B$2:$B$753,'Capability Totals'!B17&amp;" "&amp;'Capability Totals'!C17,'Business Capabilities'!$D$2:$D$753,"P")</f>
        <v>7</v>
      </c>
      <c r="F17" s="3">
        <f>COUNTIFS('Business Capabilities'!$B$2:$B$753,'Capability Totals'!B17&amp;" "&amp;'Capability Totals'!C17,'Business Capabilities'!$D$2:$D$753,"O")</f>
        <v>7</v>
      </c>
      <c r="G17" s="6">
        <f t="shared" si="0"/>
        <v>21</v>
      </c>
    </row>
    <row r="18" spans="1:7" ht="29.25" customHeight="1" x14ac:dyDescent="0.3">
      <c r="A18" s="144"/>
      <c r="B18" s="4" t="s">
        <v>1130</v>
      </c>
      <c r="C18" s="5" t="s">
        <v>1131</v>
      </c>
      <c r="D18" s="3">
        <f>COUNTIFS('Business Capabilities'!$B$2:$B$753,'Capability Totals'!B18&amp;" "&amp;'Capability Totals'!C18,'Business Capabilities'!$D$2:$D$753,"I")</f>
        <v>33</v>
      </c>
      <c r="E18" s="3">
        <f>COUNTIFS('Business Capabilities'!$B$2:$B$753,'Capability Totals'!B18&amp;" "&amp;'Capability Totals'!C18,'Business Capabilities'!$D$2:$D$753,"P")</f>
        <v>72</v>
      </c>
      <c r="F18" s="3">
        <f>COUNTIFS('Business Capabilities'!$B$2:$B$753,'Capability Totals'!B18&amp;" "&amp;'Capability Totals'!C18,'Business Capabilities'!$D$2:$D$753,"O")</f>
        <v>98</v>
      </c>
      <c r="G18" s="6">
        <f t="shared" si="0"/>
        <v>203</v>
      </c>
    </row>
    <row r="19" spans="1:7" ht="15" thickBot="1" x14ac:dyDescent="0.35">
      <c r="D19" s="1"/>
      <c r="E19" s="1"/>
      <c r="F19" s="1"/>
      <c r="G19" s="1"/>
    </row>
    <row r="20" spans="1:7" ht="15" thickBot="1" x14ac:dyDescent="0.35">
      <c r="C20" s="9" t="s">
        <v>1099</v>
      </c>
      <c r="D20" s="8">
        <f>SUM(D3:D18)</f>
        <v>123</v>
      </c>
      <c r="E20" s="8">
        <f>SUM(E3:E18)</f>
        <v>273</v>
      </c>
      <c r="F20" s="8">
        <f>SUM(F3:F18)</f>
        <v>354</v>
      </c>
      <c r="G20" s="7">
        <f t="shared" ref="G20" si="2">SUM(G3:G18)</f>
        <v>750</v>
      </c>
    </row>
  </sheetData>
  <mergeCells count="8">
    <mergeCell ref="A1:G1"/>
    <mergeCell ref="B2:C2"/>
    <mergeCell ref="A3:A4"/>
    <mergeCell ref="A17:A18"/>
    <mergeCell ref="A15:A16"/>
    <mergeCell ref="A9:A14"/>
    <mergeCell ref="A7:A8"/>
    <mergeCell ref="A5:A6"/>
  </mergeCells>
  <printOptions horizontalCentered="1"/>
  <pageMargins left="0.7" right="0.7" top="0.75" bottom="0.75" header="0.3" footer="0.3"/>
  <pageSetup scale="91" orientation="landscape" r:id="rId1"/>
  <headerFooter>
    <oddHeader>&amp;C&amp;A</oddHeader>
    <oddFooter>&amp;L&amp;9© 2021 The MITRE Corporation – all rights reserved  
Federal  Government – unlimited usage rights&amp;C&amp;9&amp;F&amp;R&amp;9Page &amp;P of &amp;N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266ECAD8AFBF2D4EBE834A89ACAFB218" ma:contentTypeVersion="2" ma:contentTypeDescription="Create a new document." ma:contentTypeScope="" ma:versionID="e5cd34aa934feab3bac856e01a167907">
  <xsd:schema xmlns:xsd="http://www.w3.org/2001/XMLSchema" xmlns:xs="http://www.w3.org/2001/XMLSchema" xmlns:p="http://schemas.microsoft.com/office/2006/metadata/properties" xmlns:ns2="deaf8126-21e8-4c99-9fac-c443735bdec3" targetNamespace="http://schemas.microsoft.com/office/2006/metadata/properties" ma:root="true" ma:fieldsID="b090ef1620bf73affd785b85a41d80a9" ns2:_="">
    <xsd:import namespace="deaf8126-21e8-4c99-9fac-c443735bdec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af8126-21e8-4c99-9fac-c443735bdec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8F681D4-CE0E-4C74-AD77-EEEDC06156EB}">
  <ds:schemaRefs>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www.w3.org/XML/1998/namespace"/>
    <ds:schemaRef ds:uri="http://schemas.microsoft.com/office/infopath/2007/PartnerControls"/>
    <ds:schemaRef ds:uri="http://purl.org/dc/terms/"/>
    <ds:schemaRef ds:uri="deaf8126-21e8-4c99-9fac-c443735bdec3"/>
    <ds:schemaRef ds:uri="http://purl.org/dc/elements/1.1/"/>
  </ds:schemaRefs>
</ds:datastoreItem>
</file>

<file path=customXml/itemProps2.xml><?xml version="1.0" encoding="utf-8"?>
<ds:datastoreItem xmlns:ds="http://schemas.openxmlformats.org/officeDocument/2006/customXml" ds:itemID="{BFA037EC-C1B7-4B23-8D16-7A68D9A8538B}">
  <ds:schemaRefs>
    <ds:schemaRef ds:uri="http://schemas.microsoft.com/sharepoint/v3/contenttype/forms"/>
  </ds:schemaRefs>
</ds:datastoreItem>
</file>

<file path=customXml/itemProps3.xml><?xml version="1.0" encoding="utf-8"?>
<ds:datastoreItem xmlns:ds="http://schemas.openxmlformats.org/officeDocument/2006/customXml" ds:itemID="{B45660C6-8B2F-40DD-81C5-7A1410B30CE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af8126-21e8-4c99-9fac-c443735bdec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Cover</vt:lpstr>
      <vt:lpstr>Workbook Overview</vt:lpstr>
      <vt:lpstr>Capablity Guidelines</vt:lpstr>
      <vt:lpstr>Legend</vt:lpstr>
      <vt:lpstr>Business Capabilities</vt:lpstr>
      <vt:lpstr>Capability Totals</vt:lpstr>
      <vt:lpstr>'Business Capabilities'!Print_Titles</vt:lpstr>
      <vt:lpstr>Legend!Print_Titles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MITRE</dc:creator>
  <cp:keywords/>
  <dc:description/>
  <cp:lastModifiedBy>Bianca N Piccione</cp:lastModifiedBy>
  <cp:revision/>
  <dcterms:created xsi:type="dcterms:W3CDTF">2017-02-02T21:02:29Z</dcterms:created>
  <dcterms:modified xsi:type="dcterms:W3CDTF">2021-05-25T14:04:52Z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0x010100266ECAD8AFBF2D4EBE834A89ACAFB218</vt:lpwstr>
  </property>
  <property fmtid="{D5CDD505-2E9C-101B-9397-08002B2CF9AE}" pid="3" name="Order">
    <vt:r8>44400</vt:r8>
  </property>
  <property fmtid="{D5CDD505-2E9C-101B-9397-08002B2CF9AE}" pid="4" name="URL">
    <vt:lpwstr/>
  </property>
  <property fmtid="{D5CDD505-2E9C-101B-9397-08002B2CF9AE}" pid="5" name="xd_ProgID">
    <vt:lpwstr/>
  </property>
  <property fmtid="{D5CDD505-2E9C-101B-9397-08002B2CF9AE}" pid="6" name="TemplateUrl">
    <vt:lpwstr/>
  </property>
</Properties>
</file>